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hidePivotFieldList="1" defaultThemeVersion="164011"/>
  <bookViews>
    <workbookView xWindow="0" yWindow="0" windowWidth="22260" windowHeight="12645"/>
  </bookViews>
  <sheets>
    <sheet name="data" sheetId="1" r:id="rId1"/>
    <sheet name="pivot tabel" sheetId="3" r:id="rId2"/>
    <sheet name="dashboard" sheetId="4" r:id="rId3"/>
  </sheets>
  <definedNames>
    <definedName name="Slicer_Months">#N/A</definedName>
  </definedNames>
  <calcPr calcId="162913"/>
  <pivotCaches>
    <pivotCache cacheId="1"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31" i="1" l="1"/>
</calcChain>
</file>

<file path=xl/sharedStrings.xml><?xml version="1.0" encoding="utf-8"?>
<sst xmlns="http://schemas.openxmlformats.org/spreadsheetml/2006/main" count="170" uniqueCount="42">
  <si>
    <t>Date</t>
  </si>
  <si>
    <t>Product</t>
  </si>
  <si>
    <t>Category</t>
  </si>
  <si>
    <t>Sales Rep</t>
  </si>
  <si>
    <t>City</t>
  </si>
  <si>
    <t>No.of Units</t>
  </si>
  <si>
    <t>Price</t>
  </si>
  <si>
    <t>Amount</t>
  </si>
  <si>
    <t>Dell XSP 13</t>
  </si>
  <si>
    <t>Laptop</t>
  </si>
  <si>
    <t>Aryan</t>
  </si>
  <si>
    <t>Banglore</t>
  </si>
  <si>
    <t>One Plus Buds</t>
  </si>
  <si>
    <t>Headphone</t>
  </si>
  <si>
    <t>Lenin</t>
  </si>
  <si>
    <t>Mumbai</t>
  </si>
  <si>
    <t>Apple AirPods</t>
  </si>
  <si>
    <t>HP Envy x360</t>
  </si>
  <si>
    <t>Amar</t>
  </si>
  <si>
    <t>iPhone 11 pro</t>
  </si>
  <si>
    <t>Phone</t>
  </si>
  <si>
    <t>Laxmi</t>
  </si>
  <si>
    <t>OnePlus 8 pro</t>
  </si>
  <si>
    <t>Cochin</t>
  </si>
  <si>
    <t>Krish</t>
  </si>
  <si>
    <t>Delhi</t>
  </si>
  <si>
    <t>Hyderabad</t>
  </si>
  <si>
    <t>Row Labels</t>
  </si>
  <si>
    <t>Grand Total</t>
  </si>
  <si>
    <t>Sum of Price</t>
  </si>
  <si>
    <t>Jan</t>
  </si>
  <si>
    <t>Mar</t>
  </si>
  <si>
    <t>Jun</t>
  </si>
  <si>
    <t>Oct</t>
  </si>
  <si>
    <t>May</t>
  </si>
  <si>
    <t>Jul</t>
  </si>
  <si>
    <t>Dec</t>
  </si>
  <si>
    <t>Feb</t>
  </si>
  <si>
    <t>Apr</t>
  </si>
  <si>
    <t>Aug</t>
  </si>
  <si>
    <t>Sep</t>
  </si>
  <si>
    <t>Nov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</si>
</sst>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Calibri"/>
      <family val="2"/>
      <scheme val="minor"/>
    </font>
    <font>
      <b/>
      <sz val="12"/>
      <color theme="1"/>
      <name val="Calibri"/>
      <family val="2"/>
      <scheme val="minor"/>
    </font>
    <font>
      <b/>
      <sz val="11"/>
      <color theme="1"/>
      <name val="Calibri"/>
      <family val="2"/>
      <scheme val="minor"/>
    </font>
    <font>
      <b/>
      <sz val="14"/>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14" fontId="0" fillId="0" borderId="0" xfId="0" applyNumberFormat="1"/>
    <xf numFmtId="3"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1" fillId="0" borderId="0" xfId="0" applyFont="1"/>
    <xf numFmtId="3" fontId="2" fillId="0" borderId="0" xfId="0" applyNumberFormat="1" applyFont="1"/>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thrinex.xlsx]pivot tabel!sales by category</c:name>
    <c:fmtId val="4"/>
  </c:pivotSource>
  <c:chart>
    <c:title>
      <c:tx>
        <c:rich>
          <a:bodyPr rot="0" spcFirstLastPara="1" vertOverflow="ellipsis" vert="horz" wrap="square" anchor="ctr" anchorCtr="1"/>
          <a:lstStyle/>
          <a:p>
            <a:pPr>
              <a:defRPr sz="1800" b="1" i="1" u="none" strike="noStrike" kern="1200" spc="0" baseline="0">
                <a:solidFill>
                  <a:srgbClr val="C00000"/>
                </a:solidFill>
                <a:latin typeface="+mn-lt"/>
                <a:ea typeface="+mn-ea"/>
                <a:cs typeface="+mn-cs"/>
              </a:defRPr>
            </a:pPr>
            <a:r>
              <a:rPr lang="en-US" sz="1800" b="1" i="1">
                <a:solidFill>
                  <a:srgbClr val="C00000"/>
                </a:solidFill>
              </a:rPr>
              <a:t>sales</a:t>
            </a:r>
            <a:r>
              <a:rPr lang="en-US" sz="1800" b="1" i="1" baseline="0">
                <a:solidFill>
                  <a:srgbClr val="C00000"/>
                </a:solidFill>
              </a:rPr>
              <a:t> by category</a:t>
            </a:r>
            <a:endParaRPr lang="en-US" sz="1800" b="1" i="1">
              <a:solidFill>
                <a:srgbClr val="C00000"/>
              </a:solidFill>
            </a:endParaRPr>
          </a:p>
        </c:rich>
      </c:tx>
      <c:layout/>
      <c:overlay val="0"/>
      <c:spPr>
        <a:noFill/>
        <a:ln>
          <a:noFill/>
        </a:ln>
        <a:effectLst/>
      </c:spPr>
      <c:txPr>
        <a:bodyPr rot="0" spcFirstLastPara="1" vertOverflow="ellipsis" vert="horz" wrap="square" anchor="ctr" anchorCtr="1"/>
        <a:lstStyle/>
        <a:p>
          <a:pPr>
            <a:defRPr sz="1800" b="1" i="1" u="none" strike="noStrike" kern="1200" spc="0" baseline="0">
              <a:solidFill>
                <a:srgbClr val="C00000"/>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pivotFmt>
      <c:pivotFmt>
        <c:idx val="1"/>
        <c:spPr>
          <a:solidFill>
            <a:schemeClr val="accent2"/>
          </a:solidFill>
          <a:ln w="19050">
            <a:solidFill>
              <a:schemeClr val="lt1"/>
            </a:solidFill>
          </a:ln>
          <a:effectLst/>
        </c:spPr>
        <c:marker>
          <c:symbol val="none"/>
        </c:marker>
      </c:pivotFmt>
      <c:pivotFmt>
        <c:idx val="2"/>
        <c:spPr>
          <a:solidFill>
            <a:schemeClr val="accent2"/>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2"/>
          </a:solidFill>
          <a:ln w="19050">
            <a:solidFill>
              <a:schemeClr val="lt1"/>
            </a:solidFill>
          </a:ln>
          <a:effectLst/>
        </c:spPr>
      </c:pivotFmt>
      <c:pivotFmt>
        <c:idx val="5"/>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w="19050">
            <a:solidFill>
              <a:schemeClr val="lt1"/>
            </a:solidFill>
          </a:ln>
          <a:effectLst/>
        </c:spPr>
      </c:pivotFmt>
      <c:pivotFmt>
        <c:idx val="7"/>
        <c:spPr>
          <a:solidFill>
            <a:schemeClr val="accent2"/>
          </a:solidFill>
          <a:ln w="19050">
            <a:solidFill>
              <a:schemeClr val="lt1"/>
            </a:solidFill>
          </a:ln>
          <a:effectLst/>
        </c:spPr>
      </c:pivotFmt>
      <c:pivotFmt>
        <c:idx val="8"/>
        <c:spPr>
          <a:solidFill>
            <a:schemeClr val="accent2"/>
          </a:solidFill>
          <a:ln w="19050">
            <a:solidFill>
              <a:schemeClr val="lt1"/>
            </a:solidFill>
          </a:ln>
          <a:effectLst/>
        </c:spPr>
      </c:pivotFmt>
      <c:pivotFmt>
        <c:idx val="9"/>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0"/>
        <c:spPr>
          <a:solidFill>
            <a:schemeClr val="accent2"/>
          </a:solidFill>
          <a:ln w="19050">
            <a:solidFill>
              <a:schemeClr val="lt1"/>
            </a:solidFill>
          </a:ln>
          <a:effectLst/>
        </c:spPr>
        <c:dLbl>
          <c:idx val="0"/>
          <c:layout>
            <c:manualLayout>
              <c:x val="-0.15144101047751871"/>
              <c:y val="0.15980956941455435"/>
            </c:manualLayout>
          </c:layout>
          <c:tx>
            <c:rich>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fld id="{F1E81D68-E31C-474D-B1E9-A2D0F41FDEBA}" type="CATEGORYNAME">
                  <a:rPr lang="en-US" baseline="0"/>
                  <a:pPr>
                    <a:defRPr sz="1400" b="1"/>
                  </a:pPr>
                  <a:t>[CATEGORY NAME]</a:t>
                </a:fld>
                <a:r>
                  <a:rPr lang="en-US" baseline="0"/>
                  <a:t>, </a:t>
                </a:r>
                <a:fld id="{96EA52F4-5D4B-4DBF-875C-B14152FDD3F1}" type="VALUE">
                  <a:rPr lang="en-US" baseline="0"/>
                  <a:pPr>
                    <a:defRPr sz="1400" b="1"/>
                  </a:pPr>
                  <a:t>[VALUE]</a:t>
                </a:fld>
                <a:r>
                  <a:rPr lang="en-US" baseline="0"/>
                  <a:t>, </a:t>
                </a:r>
                <a:fld id="{7425A939-AAFB-467A-A2B0-27500DAE8443}" type="PERCENTAGE">
                  <a:rPr lang="en-US" baseline="0"/>
                  <a:pPr>
                    <a:defRPr sz="1400" b="1"/>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15:layout/>
              <c15:dlblFieldTable/>
              <c15:showDataLabelsRange val="0"/>
            </c:ext>
          </c:extLst>
        </c:dLbl>
      </c:pivotFmt>
      <c:pivotFmt>
        <c:idx val="11"/>
        <c:spPr>
          <a:solidFill>
            <a:schemeClr val="accent2"/>
          </a:solidFill>
          <a:ln w="19050">
            <a:solidFill>
              <a:schemeClr val="lt1"/>
            </a:solidFill>
          </a:ln>
          <a:effectLst/>
        </c:spPr>
        <c:dLbl>
          <c:idx val="0"/>
          <c:layout/>
          <c:tx>
            <c:rich>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fld id="{A5ABB49A-4404-4629-B46B-476AB9210BA9}" type="CATEGORYNAME">
                  <a:rPr lang="en-US" baseline="0"/>
                  <a:pPr>
                    <a:defRPr sz="1400" b="1"/>
                  </a:pPr>
                  <a:t>[CATEGORY NAME]</a:t>
                </a:fld>
                <a:r>
                  <a:rPr lang="en-US" baseline="0"/>
                  <a:t>, </a:t>
                </a:r>
                <a:fld id="{866FEA23-95EC-44A1-8510-AE6B2DD4B2B5}" type="VALUE">
                  <a:rPr lang="en-US" baseline="0"/>
                  <a:pPr>
                    <a:defRPr sz="1400" b="1"/>
                  </a:pPr>
                  <a:t>[VALUE]</a:t>
                </a:fld>
                <a:r>
                  <a:rPr lang="en-US" baseline="0"/>
                  <a:t>, </a:t>
                </a:r>
                <a:fld id="{9C89B3F3-B869-437F-968C-6A5FF663FB88}" type="PERCENTAGE">
                  <a:rPr lang="en-US" baseline="0"/>
                  <a:pPr>
                    <a:defRPr sz="1400" b="1"/>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15:layout/>
              <c15:dlblFieldTable/>
              <c15:showDataLabelsRange val="0"/>
            </c:ext>
          </c:extLst>
        </c:dLbl>
      </c:pivotFmt>
      <c:pivotFmt>
        <c:idx val="12"/>
        <c:spPr>
          <a:solidFill>
            <a:schemeClr val="accent2"/>
          </a:solidFill>
          <a:ln w="19050">
            <a:solidFill>
              <a:schemeClr val="lt1"/>
            </a:solidFill>
          </a:ln>
          <a:effectLst/>
        </c:spPr>
        <c:dLbl>
          <c:idx val="0"/>
          <c:layout>
            <c:manualLayout>
              <c:x val="2.9308700063536648E-2"/>
              <c:y val="-2.9848584099282519E-3"/>
            </c:manualLayout>
          </c:layout>
          <c:tx>
            <c:rich>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r>
                  <a:rPr lang="en-US" baseline="0"/>
                  <a:t> </a:t>
                </a:r>
                <a:fld id="{A431AA73-5073-4AB9-8BBE-B14EAEA5AE19}" type="CATEGORYNAME">
                  <a:rPr lang="en-US" baseline="0"/>
                  <a:pPr>
                    <a:defRPr sz="1400" b="1"/>
                  </a:pPr>
                  <a:t>[CATEGORY NAME]</a:t>
                </a:fld>
                <a:r>
                  <a:rPr lang="en-US" baseline="0"/>
                  <a:t>, </a:t>
                </a:r>
                <a:fld id="{2217B114-66C6-4513-9A5A-427D83933C20}" type="VALUE">
                  <a:rPr lang="en-US" baseline="0"/>
                  <a:pPr>
                    <a:defRPr sz="1400" b="1"/>
                  </a:pPr>
                  <a:t>[VALUE]</a:t>
                </a:fld>
                <a:r>
                  <a:rPr lang="en-US" baseline="0"/>
                  <a:t>, </a:t>
                </a:r>
                <a:fld id="{8C46DAC3-1DA2-44F4-917A-8EB9272E3FDF}" type="PERCENTAGE">
                  <a:rPr lang="en-US" baseline="0"/>
                  <a:pPr>
                    <a:defRPr sz="1400" b="1"/>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15:layout/>
              <c15:dlblFieldTable/>
              <c15:showDataLabelsRange val="0"/>
            </c:ext>
          </c:extLst>
        </c:dLbl>
      </c:pivotFmt>
    </c:pivotFmts>
    <c:plotArea>
      <c:layout/>
      <c:pieChart>
        <c:varyColors val="1"/>
        <c:ser>
          <c:idx val="0"/>
          <c:order val="0"/>
          <c:tx>
            <c:strRef>
              <c:f>'pivot tabel'!$E$1</c:f>
              <c:strCache>
                <c:ptCount val="1"/>
                <c:pt idx="0">
                  <c:v>Total</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1-D140-416F-A874-30EF9052314E}"/>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D140-416F-A874-30EF9052314E}"/>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D140-416F-A874-30EF9052314E}"/>
              </c:ext>
            </c:extLst>
          </c:dPt>
          <c:dLbls>
            <c:dLbl>
              <c:idx val="0"/>
              <c:layout>
                <c:manualLayout>
                  <c:x val="-0.15144101047751871"/>
                  <c:y val="0.15980956941455435"/>
                </c:manualLayout>
              </c:layout>
              <c:tx>
                <c:rich>
                  <a:bodyPr/>
                  <a:lstStyle/>
                  <a:p>
                    <a:fld id="{F1E81D68-E31C-474D-B1E9-A2D0F41FDEBA}" type="CATEGORYNAME">
                      <a:rPr lang="en-US" baseline="0"/>
                      <a:pPr/>
                      <a:t>[CATEGORY NAME]</a:t>
                    </a:fld>
                    <a:r>
                      <a:rPr lang="en-US" baseline="0"/>
                      <a:t>, </a:t>
                    </a:r>
                    <a:fld id="{96EA52F4-5D4B-4DBF-875C-B14152FDD3F1}" type="VALUE">
                      <a:rPr lang="en-US" baseline="0"/>
                      <a:pPr/>
                      <a:t>[VALUE]</a:t>
                    </a:fld>
                    <a:r>
                      <a:rPr lang="en-US" baseline="0"/>
                      <a:t>, </a:t>
                    </a:r>
                    <a:fld id="{7425A939-AAFB-467A-A2B0-27500DAE8443}" type="PERCENTAGE">
                      <a:rPr lang="en-US" baseline="0"/>
                      <a:pPr/>
                      <a:t>[PERCENTAGE]</a:t>
                    </a:fld>
                    <a:endParaRPr lang="en-US" baseline="0"/>
                  </a:p>
                </c:rich>
              </c:tx>
              <c:showLegendKey val="1"/>
              <c:showVal val="1"/>
              <c:showCatName val="1"/>
              <c:showSerName val="1"/>
              <c:showPercent val="1"/>
              <c:showBubbleSize val="1"/>
              <c:extLst>
                <c:ext xmlns:c15="http://schemas.microsoft.com/office/drawing/2012/chart" uri="{CE6537A1-D6FC-4f65-9D91-7224C49458BB}">
                  <c15:layout/>
                  <c15:dlblFieldTable/>
                  <c15:showDataLabelsRange val="0"/>
                </c:ext>
                <c:ext xmlns:c16="http://schemas.microsoft.com/office/drawing/2014/chart" uri="{C3380CC4-5D6E-409C-BE32-E72D297353CC}">
                  <c16:uniqueId val="{00000001-D140-416F-A874-30EF9052314E}"/>
                </c:ext>
              </c:extLst>
            </c:dLbl>
            <c:dLbl>
              <c:idx val="1"/>
              <c:layout/>
              <c:tx>
                <c:rich>
                  <a:bodyPr/>
                  <a:lstStyle/>
                  <a:p>
                    <a:fld id="{A5ABB49A-4404-4629-B46B-476AB9210BA9}" type="CATEGORYNAME">
                      <a:rPr lang="en-US" baseline="0"/>
                      <a:pPr/>
                      <a:t>[CATEGORY NAME]</a:t>
                    </a:fld>
                    <a:r>
                      <a:rPr lang="en-US" baseline="0"/>
                      <a:t>, </a:t>
                    </a:r>
                    <a:fld id="{866FEA23-95EC-44A1-8510-AE6B2DD4B2B5}" type="VALUE">
                      <a:rPr lang="en-US" baseline="0"/>
                      <a:pPr/>
                      <a:t>[VALUE]</a:t>
                    </a:fld>
                    <a:r>
                      <a:rPr lang="en-US" baseline="0"/>
                      <a:t>, </a:t>
                    </a:r>
                    <a:fld id="{9C89B3F3-B869-437F-968C-6A5FF663FB88}" type="PERCENTAGE">
                      <a:rPr lang="en-US" baseline="0"/>
                      <a:pPr/>
                      <a:t>[PERCENTAGE]</a:t>
                    </a:fld>
                    <a:endParaRPr lang="en-US" baseline="0"/>
                  </a:p>
                </c:rich>
              </c:tx>
              <c:showLegendKey val="1"/>
              <c:showVal val="1"/>
              <c:showCatName val="1"/>
              <c:showSerName val="1"/>
              <c:showPercent val="1"/>
              <c:showBubbleSize val="1"/>
              <c:extLst>
                <c:ext xmlns:c15="http://schemas.microsoft.com/office/drawing/2012/chart" uri="{CE6537A1-D6FC-4f65-9D91-7224C49458BB}">
                  <c15:layout/>
                  <c15:dlblFieldTable/>
                  <c15:showDataLabelsRange val="0"/>
                </c:ext>
                <c:ext xmlns:c16="http://schemas.microsoft.com/office/drawing/2014/chart" uri="{C3380CC4-5D6E-409C-BE32-E72D297353CC}">
                  <c16:uniqueId val="{00000003-D140-416F-A874-30EF9052314E}"/>
                </c:ext>
              </c:extLst>
            </c:dLbl>
            <c:dLbl>
              <c:idx val="2"/>
              <c:layout>
                <c:manualLayout>
                  <c:x val="2.9308700063536648E-2"/>
                  <c:y val="-2.9848584099282519E-3"/>
                </c:manualLayout>
              </c:layout>
              <c:tx>
                <c:rich>
                  <a:bodyPr/>
                  <a:lstStyle/>
                  <a:p>
                    <a:r>
                      <a:rPr lang="en-US" baseline="0"/>
                      <a:t> </a:t>
                    </a:r>
                    <a:fld id="{A431AA73-5073-4AB9-8BBE-B14EAEA5AE19}" type="CATEGORYNAME">
                      <a:rPr lang="en-US" baseline="0"/>
                      <a:pPr/>
                      <a:t>[CATEGORY NAME]</a:t>
                    </a:fld>
                    <a:r>
                      <a:rPr lang="en-US" baseline="0"/>
                      <a:t>, </a:t>
                    </a:r>
                    <a:fld id="{2217B114-66C6-4513-9A5A-427D83933C20}" type="VALUE">
                      <a:rPr lang="en-US" baseline="0"/>
                      <a:pPr/>
                      <a:t>[VALUE]</a:t>
                    </a:fld>
                    <a:r>
                      <a:rPr lang="en-US" baseline="0"/>
                      <a:t>, </a:t>
                    </a:r>
                    <a:fld id="{8C46DAC3-1DA2-44F4-917A-8EB9272E3FDF}" type="PERCENTAGE">
                      <a:rPr lang="en-US" baseline="0"/>
                      <a:pPr/>
                      <a:t>[PERCENTAGE]</a:t>
                    </a:fld>
                    <a:endParaRPr lang="en-US" baseline="0"/>
                  </a:p>
                </c:rich>
              </c:tx>
              <c:showLegendKey val="1"/>
              <c:showVal val="1"/>
              <c:showCatName val="1"/>
              <c:showSerName val="1"/>
              <c:showPercent val="1"/>
              <c:showBubbleSize val="1"/>
              <c:extLst>
                <c:ext xmlns:c15="http://schemas.microsoft.com/office/drawing/2012/chart" uri="{CE6537A1-D6FC-4f65-9D91-7224C49458BB}">
                  <c15:layout/>
                  <c15:dlblFieldTable/>
                  <c15:showDataLabelsRange val="0"/>
                </c:ext>
                <c:ext xmlns:c16="http://schemas.microsoft.com/office/drawing/2014/chart" uri="{C3380CC4-5D6E-409C-BE32-E72D297353CC}">
                  <c16:uniqueId val="{00000005-D140-416F-A874-30EF9052314E}"/>
                </c:ext>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tabel'!$D$2:$D$5</c:f>
              <c:strCache>
                <c:ptCount val="3"/>
                <c:pt idx="0">
                  <c:v>Headphone</c:v>
                </c:pt>
                <c:pt idx="1">
                  <c:v>Laptop</c:v>
                </c:pt>
                <c:pt idx="2">
                  <c:v>Phone</c:v>
                </c:pt>
              </c:strCache>
            </c:strRef>
          </c:cat>
          <c:val>
            <c:numRef>
              <c:f>'pivot tabel'!$E$2:$E$5</c:f>
              <c:numCache>
                <c:formatCode>General</c:formatCode>
                <c:ptCount val="3"/>
                <c:pt idx="0">
                  <c:v>6213</c:v>
                </c:pt>
                <c:pt idx="1">
                  <c:v>27744</c:v>
                </c:pt>
                <c:pt idx="2">
                  <c:v>2200</c:v>
                </c:pt>
              </c:numCache>
            </c:numRef>
          </c:val>
          <c:extLst>
            <c:ext xmlns:c16="http://schemas.microsoft.com/office/drawing/2014/chart" uri="{C3380CC4-5D6E-409C-BE32-E72D297353CC}">
              <c16:uniqueId val="{00000006-D140-416F-A874-30EF9052314E}"/>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thrinex.xlsx]pivot tabel!product wise tabel</c:name>
    <c:fmtId val="5"/>
  </c:pivotSource>
  <c:chart>
    <c:title>
      <c:tx>
        <c:rich>
          <a:bodyPr rot="0" spcFirstLastPara="1" vertOverflow="ellipsis" vert="horz" wrap="square" anchor="ctr" anchorCtr="1"/>
          <a:lstStyle/>
          <a:p>
            <a:pPr>
              <a:defRPr sz="1600" b="1" i="1" u="none" strike="noStrike" kern="1200" cap="all" spc="120" normalizeH="0" baseline="0">
                <a:solidFill>
                  <a:srgbClr val="C00000"/>
                </a:solidFill>
                <a:latin typeface="+mn-lt"/>
                <a:ea typeface="+mn-ea"/>
                <a:cs typeface="+mn-cs"/>
              </a:defRPr>
            </a:pPr>
            <a:r>
              <a:rPr lang="en-US" i="1">
                <a:solidFill>
                  <a:srgbClr val="C00000"/>
                </a:solidFill>
              </a:rPr>
              <a:t>ProductWise tabel</a:t>
            </a:r>
          </a:p>
          <a:p>
            <a:pPr>
              <a:defRPr i="1">
                <a:solidFill>
                  <a:srgbClr val="C00000"/>
                </a:solidFill>
              </a:defRPr>
            </a:pPr>
            <a:endParaRPr lang="en-US" i="1">
              <a:solidFill>
                <a:srgbClr val="C00000"/>
              </a:solidFill>
            </a:endParaRPr>
          </a:p>
        </c:rich>
      </c:tx>
      <c:layout/>
      <c:overlay val="0"/>
      <c:spPr>
        <a:noFill/>
        <a:ln>
          <a:noFill/>
        </a:ln>
        <a:effectLst/>
      </c:spPr>
      <c:txPr>
        <a:bodyPr rot="0" spcFirstLastPara="1" vertOverflow="ellipsis" vert="horz" wrap="square" anchor="ctr" anchorCtr="1"/>
        <a:lstStyle/>
        <a:p>
          <a:pPr>
            <a:defRPr sz="1600" b="1" i="1" u="none" strike="noStrike" kern="1200" cap="all" spc="120" normalizeH="0" baseline="0">
              <a:solidFill>
                <a:srgbClr val="C00000"/>
              </a:solidFill>
              <a:latin typeface="+mn-lt"/>
              <a:ea typeface="+mn-ea"/>
              <a:cs typeface="+mn-cs"/>
            </a:defRPr>
          </a:pPr>
          <a:endParaRPr lang="en-US"/>
        </a:p>
      </c:txPr>
    </c:title>
    <c:autoTitleDeleted val="0"/>
    <c:pivotFmts>
      <c:pivotFmt>
        <c:idx val="0"/>
      </c:pivotFmt>
      <c:pivotFmt>
        <c:idx val="1"/>
      </c:pivotFmt>
      <c:pivotFmt>
        <c:idx val="2"/>
      </c:pivotFmt>
      <c:pivotFmt>
        <c:idx val="3"/>
        <c:spPr>
          <a:solidFill>
            <a:schemeClr val="accent1"/>
          </a:solidFill>
          <a:ln>
            <a:noFill/>
          </a:ln>
          <a:effectLst/>
        </c:spPr>
        <c:marker>
          <c:spPr>
            <a:solidFill>
              <a:schemeClr val="accent1"/>
            </a:solidFill>
            <a:ln w="9525">
              <a:solidFill>
                <a:schemeClr val="accent1"/>
              </a:solidFill>
              <a:round/>
            </a:ln>
            <a:effectLst/>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pivotFmt>
      <c:pivotFmt>
        <c:idx val="5"/>
        <c:spPr>
          <a:solidFill>
            <a:schemeClr val="accent1"/>
          </a:solidFill>
          <a:ln>
            <a:noFill/>
          </a:ln>
          <a:effectLst/>
        </c:spPr>
        <c:marker>
          <c:symbol val="none"/>
        </c:marker>
        <c:dLbl>
          <c:idx val="0"/>
          <c:layout/>
          <c:spPr>
            <a:noFill/>
            <a:ln>
              <a:noFill/>
            </a:ln>
            <a:effectLst/>
          </c:spPr>
          <c:txPr>
            <a:bodyPr rot="-5400000" spcFirstLastPara="1" vertOverflow="clip" horzOverflow="clip" vert="horz" wrap="square" lIns="38100" tIns="19050" rIns="38100" bIns="19050" anchor="ctr" anchorCtr="1">
              <a:spAutoFit/>
            </a:bodyPr>
            <a:lstStyle/>
            <a:p>
              <a:pPr>
                <a:defRPr sz="105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'pivot tabel'!$E$7</c:f>
              <c:strCache>
                <c:ptCount val="1"/>
                <c:pt idx="0">
                  <c:v>Total</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105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'pivot tabel'!$D$8:$D$14</c:f>
              <c:strCache>
                <c:ptCount val="6"/>
                <c:pt idx="0">
                  <c:v>Apple AirPods</c:v>
                </c:pt>
                <c:pt idx="1">
                  <c:v>Dell XSP 13</c:v>
                </c:pt>
                <c:pt idx="2">
                  <c:v>HP Envy x360</c:v>
                </c:pt>
                <c:pt idx="3">
                  <c:v>iPhone 11 pro</c:v>
                </c:pt>
                <c:pt idx="4">
                  <c:v>One Plus Buds</c:v>
                </c:pt>
                <c:pt idx="5">
                  <c:v>OnePlus 8 pro</c:v>
                </c:pt>
              </c:strCache>
            </c:strRef>
          </c:cat>
          <c:val>
            <c:numRef>
              <c:f>'pivot tabel'!$E$8:$E$14</c:f>
              <c:numCache>
                <c:formatCode>General</c:formatCode>
                <c:ptCount val="6"/>
                <c:pt idx="0">
                  <c:v>3512</c:v>
                </c:pt>
                <c:pt idx="1">
                  <c:v>14679</c:v>
                </c:pt>
                <c:pt idx="2">
                  <c:v>13065</c:v>
                </c:pt>
                <c:pt idx="3">
                  <c:v>1300</c:v>
                </c:pt>
                <c:pt idx="4">
                  <c:v>565</c:v>
                </c:pt>
                <c:pt idx="5">
                  <c:v>3036</c:v>
                </c:pt>
              </c:numCache>
            </c:numRef>
          </c:val>
          <c:extLst>
            <c:ext xmlns:c16="http://schemas.microsoft.com/office/drawing/2014/chart" uri="{C3380CC4-5D6E-409C-BE32-E72D297353CC}">
              <c16:uniqueId val="{00000000-262A-402E-A2E1-B7DA8F390DF4}"/>
            </c:ext>
          </c:extLst>
        </c:ser>
        <c:dLbls>
          <c:dLblPos val="outEnd"/>
          <c:showLegendKey val="0"/>
          <c:showVal val="1"/>
          <c:showCatName val="0"/>
          <c:showSerName val="0"/>
          <c:showPercent val="0"/>
          <c:showBubbleSize val="0"/>
        </c:dLbls>
        <c:gapWidth val="444"/>
        <c:overlap val="-90"/>
        <c:axId val="604877728"/>
        <c:axId val="604878144"/>
      </c:barChart>
      <c:catAx>
        <c:axId val="6048777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crossAx val="604878144"/>
        <c:crosses val="autoZero"/>
        <c:auto val="1"/>
        <c:lblAlgn val="ctr"/>
        <c:lblOffset val="100"/>
        <c:noMultiLvlLbl val="0"/>
      </c:catAx>
      <c:valAx>
        <c:axId val="604878144"/>
        <c:scaling>
          <c:orientation val="minMax"/>
        </c:scaling>
        <c:delete val="1"/>
        <c:axPos val="l"/>
        <c:numFmt formatCode="General" sourceLinked="1"/>
        <c:majorTickMark val="none"/>
        <c:minorTickMark val="none"/>
        <c:tickLblPos val="nextTo"/>
        <c:crossAx val="604877728"/>
        <c:crosses val="autoZero"/>
        <c:crossBetween val="between"/>
      </c:valAx>
      <c:spPr>
        <a:noFill/>
        <a:ln>
          <a:noFill/>
        </a:ln>
        <a:effectLst/>
      </c:spPr>
    </c:plotArea>
    <c:plotVisOnly val="1"/>
    <c:dispBlanksAs val="gap"/>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thrinex.xlsx]pivot tabel!sales by salesrep</c:name>
    <c:fmtId val="6"/>
  </c:pivotSource>
  <c:chart>
    <c:title>
      <c:tx>
        <c:rich>
          <a:bodyPr rot="0" spcFirstLastPara="1" vertOverflow="ellipsis" vert="horz" wrap="square" anchor="ctr" anchorCtr="1"/>
          <a:lstStyle/>
          <a:p>
            <a:pPr>
              <a:defRPr sz="1800" b="1" i="1" u="none" strike="noStrike" kern="1200" spc="0" baseline="0">
                <a:solidFill>
                  <a:srgbClr val="C00000"/>
                </a:solidFill>
                <a:latin typeface="+mn-lt"/>
                <a:ea typeface="+mn-ea"/>
                <a:cs typeface="+mn-cs"/>
              </a:defRPr>
            </a:pPr>
            <a:r>
              <a:rPr lang="en-US" sz="1800" b="1" i="1">
                <a:solidFill>
                  <a:srgbClr val="C00000"/>
                </a:solidFill>
              </a:rPr>
              <a:t>Sales</a:t>
            </a:r>
            <a:r>
              <a:rPr lang="en-US" sz="1800" b="1" i="1" baseline="0">
                <a:solidFill>
                  <a:srgbClr val="C00000"/>
                </a:solidFill>
              </a:rPr>
              <a:t> by SalesRep</a:t>
            </a:r>
            <a:endParaRPr lang="en-US" sz="1800" b="1" i="1">
              <a:solidFill>
                <a:srgbClr val="C00000"/>
              </a:solidFill>
            </a:endParaRPr>
          </a:p>
        </c:rich>
      </c:tx>
      <c:layout/>
      <c:overlay val="0"/>
      <c:spPr>
        <a:noFill/>
        <a:ln>
          <a:noFill/>
        </a:ln>
        <a:effectLst/>
      </c:spPr>
      <c:txPr>
        <a:bodyPr rot="0" spcFirstLastPara="1" vertOverflow="ellipsis" vert="horz" wrap="square" anchor="ctr" anchorCtr="1"/>
        <a:lstStyle/>
        <a:p>
          <a:pPr>
            <a:defRPr sz="1800" b="1" i="1" u="none" strike="noStrike" kern="1200" spc="0" baseline="0">
              <a:solidFill>
                <a:srgbClr val="C00000"/>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pivotFmt>
      <c:pivotFmt>
        <c:idx val="1"/>
        <c:spPr>
          <a:solidFill>
            <a:schemeClr val="accent2"/>
          </a:solidFill>
          <a:ln>
            <a:noFill/>
          </a:ln>
          <a:effectLst/>
        </c:spPr>
        <c:marker>
          <c:symbol val="none"/>
        </c:marker>
      </c:pivotFmt>
      <c:pivotFmt>
        <c:idx val="2"/>
        <c:spPr>
          <a:solidFill>
            <a:schemeClr val="accent2"/>
          </a:solidFill>
          <a:ln>
            <a:noFill/>
          </a:ln>
          <a:effectLst/>
        </c:spPr>
        <c:marker>
          <c:symbol val="none"/>
        </c:marker>
      </c:pivotFmt>
      <c:pivotFmt>
        <c:idx val="3"/>
        <c:spPr>
          <a:solidFill>
            <a:schemeClr val="accent2"/>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'pivot tabel'!$H$1</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tabel'!$G$2:$G$7</c:f>
              <c:strCache>
                <c:ptCount val="5"/>
                <c:pt idx="0">
                  <c:v>Amar</c:v>
                </c:pt>
                <c:pt idx="1">
                  <c:v>Aryan</c:v>
                </c:pt>
                <c:pt idx="2">
                  <c:v>Krish</c:v>
                </c:pt>
                <c:pt idx="3">
                  <c:v>Laxmi</c:v>
                </c:pt>
                <c:pt idx="4">
                  <c:v>Lenin</c:v>
                </c:pt>
              </c:strCache>
            </c:strRef>
          </c:cat>
          <c:val>
            <c:numRef>
              <c:f>'pivot tabel'!$H$2:$H$7</c:f>
              <c:numCache>
                <c:formatCode>General</c:formatCode>
                <c:ptCount val="5"/>
                <c:pt idx="0">
                  <c:v>10099</c:v>
                </c:pt>
                <c:pt idx="1">
                  <c:v>5277</c:v>
                </c:pt>
                <c:pt idx="2">
                  <c:v>13033</c:v>
                </c:pt>
                <c:pt idx="3">
                  <c:v>4117</c:v>
                </c:pt>
                <c:pt idx="4">
                  <c:v>3631</c:v>
                </c:pt>
              </c:numCache>
            </c:numRef>
          </c:val>
          <c:extLst>
            <c:ext xmlns:c16="http://schemas.microsoft.com/office/drawing/2014/chart" uri="{C3380CC4-5D6E-409C-BE32-E72D297353CC}">
              <c16:uniqueId val="{00000000-7105-4688-BACC-886FB81D039A}"/>
            </c:ext>
          </c:extLst>
        </c:ser>
        <c:dLbls>
          <c:dLblPos val="outEnd"/>
          <c:showLegendKey val="0"/>
          <c:showVal val="1"/>
          <c:showCatName val="0"/>
          <c:showSerName val="0"/>
          <c:showPercent val="0"/>
          <c:showBubbleSize val="0"/>
        </c:dLbls>
        <c:gapWidth val="182"/>
        <c:axId val="609330992"/>
        <c:axId val="609329328"/>
      </c:barChart>
      <c:catAx>
        <c:axId val="6093309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crossAx val="609329328"/>
        <c:crosses val="autoZero"/>
        <c:auto val="1"/>
        <c:lblAlgn val="ctr"/>
        <c:lblOffset val="100"/>
        <c:noMultiLvlLbl val="0"/>
      </c:catAx>
      <c:valAx>
        <c:axId val="609329328"/>
        <c:scaling>
          <c:orientation val="minMax"/>
        </c:scaling>
        <c:delete val="1"/>
        <c:axPos val="b"/>
        <c:numFmt formatCode="General" sourceLinked="1"/>
        <c:majorTickMark val="none"/>
        <c:minorTickMark val="none"/>
        <c:tickLblPos val="nextTo"/>
        <c:crossAx val="60933099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thrinex.xlsx]pivot tabel!sales by city</c:name>
    <c:fmtId val="4"/>
  </c:pivotSource>
  <c:chart>
    <c:title>
      <c:tx>
        <c:rich>
          <a:bodyPr rot="0" spcFirstLastPara="1" vertOverflow="ellipsis" vert="horz" wrap="square" anchor="ctr" anchorCtr="1"/>
          <a:lstStyle/>
          <a:p>
            <a:pPr>
              <a:defRPr sz="2400" b="1" i="1" u="none" strike="noStrike" kern="1200" spc="0" baseline="0">
                <a:solidFill>
                  <a:srgbClr val="C00000"/>
                </a:solidFill>
                <a:latin typeface="+mn-lt"/>
                <a:ea typeface="+mn-ea"/>
                <a:cs typeface="+mn-cs"/>
              </a:defRPr>
            </a:pPr>
            <a:r>
              <a:rPr lang="en-US" sz="2400" b="1" i="1">
                <a:solidFill>
                  <a:srgbClr val="C00000"/>
                </a:solidFill>
              </a:rPr>
              <a:t>sales</a:t>
            </a:r>
            <a:r>
              <a:rPr lang="en-US" sz="2400" b="1" i="1" baseline="0">
                <a:solidFill>
                  <a:srgbClr val="C00000"/>
                </a:solidFill>
              </a:rPr>
              <a:t> by city</a:t>
            </a:r>
          </a:p>
        </c:rich>
      </c:tx>
      <c:layout/>
      <c:overlay val="0"/>
      <c:spPr>
        <a:noFill/>
        <a:ln>
          <a:noFill/>
        </a:ln>
        <a:effectLst/>
      </c:spPr>
      <c:txPr>
        <a:bodyPr rot="0" spcFirstLastPara="1" vertOverflow="ellipsis" vert="horz" wrap="square" anchor="ctr" anchorCtr="1"/>
        <a:lstStyle/>
        <a:p>
          <a:pPr>
            <a:defRPr sz="2400" b="1" i="1" u="none" strike="noStrike" kern="1200" spc="0" baseline="0">
              <a:solidFill>
                <a:srgbClr val="C00000"/>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ln w="28575" cap="rnd">
            <a:solidFill>
              <a:schemeClr val="accent6"/>
            </a:solidFill>
            <a:round/>
          </a:ln>
          <a:effectLst/>
        </c:spPr>
        <c:marker>
          <c:symbol val="none"/>
        </c:marker>
        <c:dLbl>
          <c:idx val="0"/>
          <c:layout/>
          <c:tx>
            <c:rich>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r>
                  <a:rPr lang="en-US" baseline="0"/>
                  <a:t> </a:t>
                </a:r>
                <a:fld id="{DC96894A-C6F2-4FEA-A092-9794E5FC6923}" type="CATEGORYNAME">
                  <a:rPr lang="en-US" baseline="0"/>
                  <a:pPr>
                    <a:defRPr sz="1200" b="1"/>
                  </a:pPr>
                  <a:t>[CATEGORY NAME]</a:t>
                </a:fld>
                <a:r>
                  <a:rPr lang="en-US" baseline="0"/>
                  <a:t>, </a:t>
                </a:r>
                <a:fld id="{8D77436E-A129-452D-91AF-B8E66D5DF7C4}" type="VALUE">
                  <a:rPr lang="en-US" baseline="0"/>
                  <a:pPr>
                    <a:defRPr sz="1200" b="1"/>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15:layout/>
              <c15:dlblFieldTable/>
              <c15:showDataLabelsRange val="0"/>
            </c:ext>
          </c:extLst>
        </c:dLbl>
      </c:pivotFmt>
      <c:pivotFmt>
        <c:idx val="6"/>
        <c:spPr>
          <a:ln w="28575" cap="rnd">
            <a:solidFill>
              <a:schemeClr val="accent6"/>
            </a:solidFill>
            <a:round/>
          </a:ln>
          <a:effectLst/>
        </c:spPr>
        <c:marker>
          <c:symbol val="none"/>
        </c:marker>
        <c:dLbl>
          <c:idx val="0"/>
          <c:layout/>
          <c:tx>
            <c:rich>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fld id="{977C880A-67A4-460B-9859-E302041858A1}" type="CATEGORYNAME">
                  <a:rPr lang="en-US" baseline="0"/>
                  <a:pPr>
                    <a:defRPr sz="1200" b="1"/>
                  </a:pPr>
                  <a:t>[CATEGORY NAME]</a:t>
                </a:fld>
                <a:r>
                  <a:rPr lang="en-US" baseline="0"/>
                  <a:t>, </a:t>
                </a:r>
                <a:fld id="{BEEE8255-AABE-44F8-9E58-D6D2B93EEF76}" type="VALUE">
                  <a:rPr lang="en-US" baseline="0"/>
                  <a:pPr>
                    <a:defRPr sz="1200" b="1"/>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15:layout/>
              <c15:dlblFieldTable/>
              <c15:showDataLabelsRange val="0"/>
            </c:ext>
          </c:extLst>
        </c:dLbl>
      </c:pivotFmt>
      <c:pivotFmt>
        <c:idx val="7"/>
        <c:spPr>
          <a:ln w="28575" cap="rnd">
            <a:solidFill>
              <a:schemeClr val="accent6"/>
            </a:solidFill>
            <a:round/>
          </a:ln>
          <a:effectLst/>
        </c:spPr>
        <c:marker>
          <c:symbol val="none"/>
        </c:marker>
        <c:dLbl>
          <c:idx val="0"/>
          <c:layout/>
          <c:tx>
            <c:rich>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fld id="{D353D92A-6D20-4483-9A59-D077CED205A1}" type="CATEGORYNAME">
                  <a:rPr lang="en-US" baseline="0"/>
                  <a:pPr>
                    <a:defRPr sz="1200" b="1"/>
                  </a:pPr>
                  <a:t>[CATEGORY NAME]</a:t>
                </a:fld>
                <a:r>
                  <a:rPr lang="en-US" baseline="0"/>
                  <a:t>, </a:t>
                </a:r>
                <a:fld id="{6B07AC96-ABF7-4D4B-A164-DECD2E46B2B0}" type="VALUE">
                  <a:rPr lang="en-US" baseline="0"/>
                  <a:pPr>
                    <a:defRPr sz="1200" b="1"/>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15:layout/>
              <c15:dlblFieldTable/>
              <c15:showDataLabelsRange val="0"/>
            </c:ext>
          </c:extLst>
        </c:dLbl>
      </c:pivotFmt>
      <c:pivotFmt>
        <c:idx val="8"/>
        <c:spPr>
          <a:ln w="28575" cap="rnd">
            <a:solidFill>
              <a:schemeClr val="accent6"/>
            </a:solidFill>
            <a:round/>
          </a:ln>
          <a:effectLst/>
        </c:spPr>
        <c:marker>
          <c:symbol val="none"/>
        </c:marker>
        <c:dLbl>
          <c:idx val="0"/>
          <c:layout/>
          <c:tx>
            <c:rich>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fld id="{822A22E8-66C2-463A-A7D4-814FED400280}" type="CATEGORYNAME">
                  <a:rPr lang="en-US" baseline="0"/>
                  <a:pPr>
                    <a:defRPr sz="1200" b="1"/>
                  </a:pPr>
                  <a:t>[CATEGORY NAME]</a:t>
                </a:fld>
                <a:r>
                  <a:rPr lang="en-US" baseline="0"/>
                  <a:t>, </a:t>
                </a:r>
                <a:fld id="{7B95FF38-C8A5-4C85-83A3-6B53D4F218E6}" type="VALUE">
                  <a:rPr lang="en-US" baseline="0"/>
                  <a:pPr>
                    <a:defRPr sz="1200" b="1"/>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15:layout/>
              <c15:dlblFieldTable/>
              <c15:showDataLabelsRange val="0"/>
            </c:ext>
          </c:extLst>
        </c:dLbl>
      </c:pivotFmt>
      <c:pivotFmt>
        <c:idx val="9"/>
        <c:spPr>
          <a:ln w="28575" cap="rnd">
            <a:solidFill>
              <a:schemeClr val="accent6"/>
            </a:solidFill>
            <a:round/>
          </a:ln>
          <a:effectLst/>
        </c:spPr>
        <c:marker>
          <c:symbol val="none"/>
        </c:marker>
        <c:dLbl>
          <c:idx val="0"/>
          <c:layout/>
          <c:tx>
            <c:rich>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r>
                  <a:rPr lang="en-US" baseline="0"/>
                  <a:t> </a:t>
                </a:r>
                <a:fld id="{E8070EA9-25C0-4A58-837C-484321340729}" type="CATEGORYNAME">
                  <a:rPr lang="en-US" baseline="0"/>
                  <a:pPr>
                    <a:defRPr sz="1200" b="1"/>
                  </a:pPr>
                  <a:t>[CATEGORY NAME]</a:t>
                </a:fld>
                <a:r>
                  <a:rPr lang="en-US" baseline="0"/>
                  <a:t>, </a:t>
                </a:r>
                <a:fld id="{B966C18B-CDC5-405C-BE10-16C06ECDE41B}" type="VALUE">
                  <a:rPr lang="en-US" baseline="0"/>
                  <a:pPr>
                    <a:defRPr sz="1200" b="1"/>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15:layout/>
              <c15:dlblFieldTable/>
              <c15:showDataLabelsRange val="0"/>
            </c:ext>
          </c:extLst>
        </c:dLbl>
      </c:pivotFmt>
    </c:pivotFmts>
    <c:plotArea>
      <c:layout/>
      <c:lineChart>
        <c:grouping val="standard"/>
        <c:varyColors val="0"/>
        <c:ser>
          <c:idx val="0"/>
          <c:order val="0"/>
          <c:tx>
            <c:strRef>
              <c:f>'pivot tabel'!$H$9</c:f>
              <c:strCache>
                <c:ptCount val="1"/>
                <c:pt idx="0">
                  <c:v>Total</c:v>
                </c:pt>
              </c:strCache>
            </c:strRef>
          </c:tx>
          <c:spPr>
            <a:ln w="28575" cap="rnd">
              <a:solidFill>
                <a:schemeClr val="accent6"/>
              </a:solidFill>
              <a:round/>
            </a:ln>
            <a:effectLst/>
          </c:spPr>
          <c:marker>
            <c:symbol val="none"/>
          </c:marker>
          <c:dPt>
            <c:idx val="0"/>
            <c:marker>
              <c:symbol val="none"/>
            </c:marker>
            <c:bubble3D val="0"/>
            <c:extLst>
              <c:ext xmlns:c16="http://schemas.microsoft.com/office/drawing/2014/chart" uri="{C3380CC4-5D6E-409C-BE32-E72D297353CC}">
                <c16:uniqueId val="{00000000-FF8B-488E-A7AB-732299C4507B}"/>
              </c:ext>
            </c:extLst>
          </c:dPt>
          <c:dPt>
            <c:idx val="1"/>
            <c:marker>
              <c:symbol val="none"/>
            </c:marker>
            <c:bubble3D val="0"/>
            <c:extLst>
              <c:ext xmlns:c16="http://schemas.microsoft.com/office/drawing/2014/chart" uri="{C3380CC4-5D6E-409C-BE32-E72D297353CC}">
                <c16:uniqueId val="{00000003-FF8B-488E-A7AB-732299C4507B}"/>
              </c:ext>
            </c:extLst>
          </c:dPt>
          <c:dPt>
            <c:idx val="2"/>
            <c:marker>
              <c:symbol val="none"/>
            </c:marker>
            <c:bubble3D val="0"/>
            <c:extLst>
              <c:ext xmlns:c16="http://schemas.microsoft.com/office/drawing/2014/chart" uri="{C3380CC4-5D6E-409C-BE32-E72D297353CC}">
                <c16:uniqueId val="{00000001-FF8B-488E-A7AB-732299C4507B}"/>
              </c:ext>
            </c:extLst>
          </c:dPt>
          <c:dPt>
            <c:idx val="3"/>
            <c:marker>
              <c:symbol val="none"/>
            </c:marker>
            <c:bubble3D val="0"/>
            <c:extLst>
              <c:ext xmlns:c16="http://schemas.microsoft.com/office/drawing/2014/chart" uri="{C3380CC4-5D6E-409C-BE32-E72D297353CC}">
                <c16:uniqueId val="{00000002-FF8B-488E-A7AB-732299C4507B}"/>
              </c:ext>
            </c:extLst>
          </c:dPt>
          <c:dPt>
            <c:idx val="4"/>
            <c:marker>
              <c:symbol val="none"/>
            </c:marker>
            <c:bubble3D val="0"/>
            <c:extLst>
              <c:ext xmlns:c16="http://schemas.microsoft.com/office/drawing/2014/chart" uri="{C3380CC4-5D6E-409C-BE32-E72D297353CC}">
                <c16:uniqueId val="{00000004-FF8B-488E-A7AB-732299C4507B}"/>
              </c:ext>
            </c:extLst>
          </c:dPt>
          <c:dLbls>
            <c:dLbl>
              <c:idx val="0"/>
              <c:layout/>
              <c:tx>
                <c:rich>
                  <a:bodyPr/>
                  <a:lstStyle/>
                  <a:p>
                    <a:r>
                      <a:rPr lang="en-US" baseline="0"/>
                      <a:t> </a:t>
                    </a:r>
                    <a:fld id="{DC96894A-C6F2-4FEA-A092-9794E5FC6923}" type="CATEGORYNAME">
                      <a:rPr lang="en-US" baseline="0"/>
                      <a:pPr/>
                      <a:t>[CATEGORY NAME]</a:t>
                    </a:fld>
                    <a:r>
                      <a:rPr lang="en-US" baseline="0"/>
                      <a:t>, </a:t>
                    </a:r>
                    <a:fld id="{8D77436E-A129-452D-91AF-B8E66D5DF7C4}" type="VALUE">
                      <a:rPr lang="en-US" baseline="0"/>
                      <a:pPr/>
                      <a:t>[VALUE]</a:t>
                    </a:fld>
                    <a:endParaRPr lang="en-US" baseline="0"/>
                  </a:p>
                </c:rich>
              </c:tx>
              <c:showLegendKey val="1"/>
              <c:showVal val="1"/>
              <c:showCatName val="1"/>
              <c:showSerName val="1"/>
              <c:showPercent val="1"/>
              <c:showBubbleSize val="1"/>
              <c:extLst>
                <c:ext xmlns:c15="http://schemas.microsoft.com/office/drawing/2012/chart" uri="{CE6537A1-D6FC-4f65-9D91-7224C49458BB}">
                  <c15:layout/>
                  <c15:dlblFieldTable/>
                  <c15:showDataLabelsRange val="0"/>
                </c:ext>
                <c:ext xmlns:c16="http://schemas.microsoft.com/office/drawing/2014/chart" uri="{C3380CC4-5D6E-409C-BE32-E72D297353CC}">
                  <c16:uniqueId val="{00000000-FF8B-488E-A7AB-732299C4507B}"/>
                </c:ext>
              </c:extLst>
            </c:dLbl>
            <c:dLbl>
              <c:idx val="1"/>
              <c:layout/>
              <c:tx>
                <c:rich>
                  <a:bodyPr/>
                  <a:lstStyle/>
                  <a:p>
                    <a:fld id="{822A22E8-66C2-463A-A7D4-814FED400280}" type="CATEGORYNAME">
                      <a:rPr lang="en-US" baseline="0"/>
                      <a:pPr/>
                      <a:t>[CATEGORY NAME]</a:t>
                    </a:fld>
                    <a:r>
                      <a:rPr lang="en-US" baseline="0"/>
                      <a:t>, </a:t>
                    </a:r>
                    <a:fld id="{7B95FF38-C8A5-4C85-83A3-6B53D4F218E6}" type="VALUE">
                      <a:rPr lang="en-US" baseline="0"/>
                      <a:pPr/>
                      <a:t>[VALUE]</a:t>
                    </a:fld>
                    <a:endParaRPr lang="en-US" baseline="0"/>
                  </a:p>
                </c:rich>
              </c:tx>
              <c:showLegendKey val="1"/>
              <c:showVal val="1"/>
              <c:showCatName val="1"/>
              <c:showSerName val="1"/>
              <c:showPercent val="1"/>
              <c:showBubbleSize val="1"/>
              <c:extLst>
                <c:ext xmlns:c15="http://schemas.microsoft.com/office/drawing/2012/chart" uri="{CE6537A1-D6FC-4f65-9D91-7224C49458BB}">
                  <c15:layout/>
                  <c15:dlblFieldTable/>
                  <c15:showDataLabelsRange val="0"/>
                </c:ext>
                <c:ext xmlns:c16="http://schemas.microsoft.com/office/drawing/2014/chart" uri="{C3380CC4-5D6E-409C-BE32-E72D297353CC}">
                  <c16:uniqueId val="{00000003-FF8B-488E-A7AB-732299C4507B}"/>
                </c:ext>
              </c:extLst>
            </c:dLbl>
            <c:dLbl>
              <c:idx val="2"/>
              <c:layout/>
              <c:tx>
                <c:rich>
                  <a:bodyPr/>
                  <a:lstStyle/>
                  <a:p>
                    <a:fld id="{977C880A-67A4-460B-9859-E302041858A1}" type="CATEGORYNAME">
                      <a:rPr lang="en-US" baseline="0"/>
                      <a:pPr/>
                      <a:t>[CATEGORY NAME]</a:t>
                    </a:fld>
                    <a:r>
                      <a:rPr lang="en-US" baseline="0"/>
                      <a:t>, </a:t>
                    </a:r>
                    <a:fld id="{BEEE8255-AABE-44F8-9E58-D6D2B93EEF76}" type="VALUE">
                      <a:rPr lang="en-US" baseline="0"/>
                      <a:pPr/>
                      <a:t>[VALUE]</a:t>
                    </a:fld>
                    <a:endParaRPr lang="en-US" baseline="0"/>
                  </a:p>
                </c:rich>
              </c:tx>
              <c:showLegendKey val="1"/>
              <c:showVal val="1"/>
              <c:showCatName val="1"/>
              <c:showSerName val="1"/>
              <c:showPercent val="1"/>
              <c:showBubbleSize val="1"/>
              <c:extLst>
                <c:ext xmlns:c15="http://schemas.microsoft.com/office/drawing/2012/chart" uri="{CE6537A1-D6FC-4f65-9D91-7224C49458BB}">
                  <c15:layout/>
                  <c15:dlblFieldTable/>
                  <c15:showDataLabelsRange val="0"/>
                </c:ext>
                <c:ext xmlns:c16="http://schemas.microsoft.com/office/drawing/2014/chart" uri="{C3380CC4-5D6E-409C-BE32-E72D297353CC}">
                  <c16:uniqueId val="{00000001-FF8B-488E-A7AB-732299C4507B}"/>
                </c:ext>
              </c:extLst>
            </c:dLbl>
            <c:dLbl>
              <c:idx val="3"/>
              <c:layout/>
              <c:tx>
                <c:rich>
                  <a:bodyPr/>
                  <a:lstStyle/>
                  <a:p>
                    <a:fld id="{D353D92A-6D20-4483-9A59-D077CED205A1}" type="CATEGORYNAME">
                      <a:rPr lang="en-US" baseline="0"/>
                      <a:pPr/>
                      <a:t>[CATEGORY NAME]</a:t>
                    </a:fld>
                    <a:r>
                      <a:rPr lang="en-US" baseline="0"/>
                      <a:t>, </a:t>
                    </a:r>
                    <a:fld id="{6B07AC96-ABF7-4D4B-A164-DECD2E46B2B0}" type="VALUE">
                      <a:rPr lang="en-US" baseline="0"/>
                      <a:pPr/>
                      <a:t>[VALUE]</a:t>
                    </a:fld>
                    <a:endParaRPr lang="en-US" baseline="0"/>
                  </a:p>
                </c:rich>
              </c:tx>
              <c:showLegendKey val="1"/>
              <c:showVal val="1"/>
              <c:showCatName val="1"/>
              <c:showSerName val="1"/>
              <c:showPercent val="1"/>
              <c:showBubbleSize val="1"/>
              <c:extLst>
                <c:ext xmlns:c15="http://schemas.microsoft.com/office/drawing/2012/chart" uri="{CE6537A1-D6FC-4f65-9D91-7224C49458BB}">
                  <c15:layout/>
                  <c15:dlblFieldTable/>
                  <c15:showDataLabelsRange val="0"/>
                </c:ext>
                <c:ext xmlns:c16="http://schemas.microsoft.com/office/drawing/2014/chart" uri="{C3380CC4-5D6E-409C-BE32-E72D297353CC}">
                  <c16:uniqueId val="{00000002-FF8B-488E-A7AB-732299C4507B}"/>
                </c:ext>
              </c:extLst>
            </c:dLbl>
            <c:dLbl>
              <c:idx val="4"/>
              <c:layout/>
              <c:tx>
                <c:rich>
                  <a:bodyPr/>
                  <a:lstStyle/>
                  <a:p>
                    <a:r>
                      <a:rPr lang="en-US" baseline="0"/>
                      <a:t> </a:t>
                    </a:r>
                    <a:fld id="{E8070EA9-25C0-4A58-837C-484321340729}" type="CATEGORYNAME">
                      <a:rPr lang="en-US" baseline="0"/>
                      <a:pPr/>
                      <a:t>[CATEGORY NAME]</a:t>
                    </a:fld>
                    <a:r>
                      <a:rPr lang="en-US" baseline="0"/>
                      <a:t>, </a:t>
                    </a:r>
                    <a:fld id="{B966C18B-CDC5-405C-BE10-16C06ECDE41B}" type="VALUE">
                      <a:rPr lang="en-US" baseline="0"/>
                      <a:pPr/>
                      <a:t>[VALUE]</a:t>
                    </a:fld>
                    <a:endParaRPr lang="en-US" baseline="0"/>
                  </a:p>
                </c:rich>
              </c:tx>
              <c:showLegendKey val="1"/>
              <c:showVal val="1"/>
              <c:showCatName val="1"/>
              <c:showSerName val="1"/>
              <c:showPercent val="1"/>
              <c:showBubbleSize val="1"/>
              <c:extLst>
                <c:ext xmlns:c15="http://schemas.microsoft.com/office/drawing/2012/chart" uri="{CE6537A1-D6FC-4f65-9D91-7224C49458BB}">
                  <c15:layout/>
                  <c15:dlblFieldTable/>
                  <c15:showDataLabelsRange val="0"/>
                </c:ext>
                <c:ext xmlns:c16="http://schemas.microsoft.com/office/drawing/2014/chart" uri="{C3380CC4-5D6E-409C-BE32-E72D297353CC}">
                  <c16:uniqueId val="{00000004-FF8B-488E-A7AB-732299C4507B}"/>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tabel'!$G$10:$G$15</c:f>
              <c:strCache>
                <c:ptCount val="5"/>
                <c:pt idx="0">
                  <c:v>Banglore</c:v>
                </c:pt>
                <c:pt idx="1">
                  <c:v>Cochin</c:v>
                </c:pt>
                <c:pt idx="2">
                  <c:v>Delhi</c:v>
                </c:pt>
                <c:pt idx="3">
                  <c:v>Hyderabad</c:v>
                </c:pt>
                <c:pt idx="4">
                  <c:v>Mumbai</c:v>
                </c:pt>
              </c:strCache>
            </c:strRef>
          </c:cat>
          <c:val>
            <c:numRef>
              <c:f>'pivot tabel'!$H$10:$H$15</c:f>
              <c:numCache>
                <c:formatCode>General</c:formatCode>
                <c:ptCount val="5"/>
                <c:pt idx="0">
                  <c:v>13277</c:v>
                </c:pt>
                <c:pt idx="1">
                  <c:v>4065</c:v>
                </c:pt>
                <c:pt idx="2">
                  <c:v>9580</c:v>
                </c:pt>
                <c:pt idx="3">
                  <c:v>5578</c:v>
                </c:pt>
                <c:pt idx="4">
                  <c:v>3657</c:v>
                </c:pt>
              </c:numCache>
            </c:numRef>
          </c:val>
          <c:smooth val="1"/>
          <c:extLst>
            <c:ext xmlns:c16="http://schemas.microsoft.com/office/drawing/2014/chart" uri="{C3380CC4-5D6E-409C-BE32-E72D297353CC}">
              <c16:uniqueId val="{00000000-B55F-4D8A-88C0-577A1D9E2CFD}"/>
            </c:ext>
          </c:extLst>
        </c:ser>
        <c:dLbls>
          <c:dLblPos val="t"/>
          <c:showLegendKey val="0"/>
          <c:showVal val="1"/>
          <c:showCatName val="0"/>
          <c:showSerName val="0"/>
          <c:showPercent val="0"/>
          <c:showBubbleSize val="0"/>
        </c:dLbls>
        <c:smooth val="0"/>
        <c:axId val="604881056"/>
        <c:axId val="604882720"/>
      </c:lineChart>
      <c:catAx>
        <c:axId val="604881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604882720"/>
        <c:crosses val="autoZero"/>
        <c:auto val="1"/>
        <c:lblAlgn val="ctr"/>
        <c:lblOffset val="100"/>
        <c:noMultiLvlLbl val="0"/>
      </c:catAx>
      <c:valAx>
        <c:axId val="604882720"/>
        <c:scaling>
          <c:orientation val="minMax"/>
        </c:scaling>
        <c:delete val="1"/>
        <c:axPos val="l"/>
        <c:numFmt formatCode="General" sourceLinked="1"/>
        <c:majorTickMark val="none"/>
        <c:minorTickMark val="none"/>
        <c:tickLblPos val="nextTo"/>
        <c:crossAx val="60488105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thrinex.xlsx]pivot tabel!date</c:name>
    <c:fmtId val="10"/>
  </c:pivotSource>
  <c:chart>
    <c:title>
      <c:tx>
        <c:rich>
          <a:bodyPr rot="0" spcFirstLastPara="1" vertOverflow="ellipsis" vert="horz" wrap="square" anchor="ctr" anchorCtr="1"/>
          <a:lstStyle/>
          <a:p>
            <a:pPr>
              <a:defRPr sz="1800" b="1" i="1" u="none" strike="noStrike" kern="1200" spc="0" baseline="0">
                <a:solidFill>
                  <a:srgbClr val="C00000"/>
                </a:solidFill>
                <a:latin typeface="+mn-lt"/>
                <a:ea typeface="+mn-ea"/>
                <a:cs typeface="+mn-cs"/>
              </a:defRPr>
            </a:pPr>
            <a:r>
              <a:rPr lang="en-US" sz="1800" b="1" i="1">
                <a:solidFill>
                  <a:srgbClr val="C00000"/>
                </a:solidFill>
              </a:rPr>
              <a:t>MonthWise</a:t>
            </a:r>
            <a:r>
              <a:rPr lang="en-US" sz="1800" b="1" i="1" baseline="0">
                <a:solidFill>
                  <a:srgbClr val="C00000"/>
                </a:solidFill>
              </a:rPr>
              <a:t> sales</a:t>
            </a:r>
            <a:endParaRPr lang="en-US" sz="1800" b="1" i="1">
              <a:solidFill>
                <a:srgbClr val="C00000"/>
              </a:solidFill>
            </a:endParaRPr>
          </a:p>
        </c:rich>
      </c:tx>
      <c:layout/>
      <c:overlay val="0"/>
      <c:spPr>
        <a:noFill/>
        <a:ln>
          <a:noFill/>
        </a:ln>
        <a:effectLst/>
      </c:spPr>
      <c:txPr>
        <a:bodyPr rot="0" spcFirstLastPara="1" vertOverflow="ellipsis" vert="horz" wrap="square" anchor="ctr" anchorCtr="1"/>
        <a:lstStyle/>
        <a:p>
          <a:pPr>
            <a:defRPr sz="1800" b="1" i="1" u="none" strike="noStrike" kern="1200" spc="0" baseline="0">
              <a:solidFill>
                <a:srgbClr val="C00000"/>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'pivot tabel'!$B$1</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tabel'!$A$2:$A$14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tabel'!$B$2:$B$14</c:f>
              <c:numCache>
                <c:formatCode>General</c:formatCode>
                <c:ptCount val="12"/>
                <c:pt idx="0">
                  <c:v>2296</c:v>
                </c:pt>
                <c:pt idx="1">
                  <c:v>4602</c:v>
                </c:pt>
                <c:pt idx="2">
                  <c:v>3930</c:v>
                </c:pt>
                <c:pt idx="3">
                  <c:v>3501</c:v>
                </c:pt>
                <c:pt idx="4">
                  <c:v>75</c:v>
                </c:pt>
                <c:pt idx="5">
                  <c:v>3222</c:v>
                </c:pt>
                <c:pt idx="6">
                  <c:v>5861</c:v>
                </c:pt>
                <c:pt idx="7">
                  <c:v>435</c:v>
                </c:pt>
                <c:pt idx="8">
                  <c:v>75</c:v>
                </c:pt>
                <c:pt idx="9">
                  <c:v>6021</c:v>
                </c:pt>
                <c:pt idx="10">
                  <c:v>135</c:v>
                </c:pt>
                <c:pt idx="11">
                  <c:v>6004</c:v>
                </c:pt>
              </c:numCache>
            </c:numRef>
          </c:val>
          <c:extLst>
            <c:ext xmlns:c16="http://schemas.microsoft.com/office/drawing/2014/chart" uri="{C3380CC4-5D6E-409C-BE32-E72D297353CC}">
              <c16:uniqueId val="{00000000-A5CD-4056-B5EE-7A58671E2086}"/>
            </c:ext>
          </c:extLst>
        </c:ser>
        <c:dLbls>
          <c:dLblPos val="outEnd"/>
          <c:showLegendKey val="0"/>
          <c:showVal val="1"/>
          <c:showCatName val="0"/>
          <c:showSerName val="0"/>
          <c:showPercent val="0"/>
          <c:showBubbleSize val="0"/>
        </c:dLbls>
        <c:gapWidth val="182"/>
        <c:axId val="383413727"/>
        <c:axId val="383414559"/>
      </c:barChart>
      <c:catAx>
        <c:axId val="3834137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383414559"/>
        <c:crosses val="autoZero"/>
        <c:auto val="1"/>
        <c:lblAlgn val="ctr"/>
        <c:lblOffset val="100"/>
        <c:noMultiLvlLbl val="0"/>
      </c:catAx>
      <c:valAx>
        <c:axId val="383414559"/>
        <c:scaling>
          <c:orientation val="minMax"/>
        </c:scaling>
        <c:delete val="1"/>
        <c:axPos val="b"/>
        <c:numFmt formatCode="General" sourceLinked="1"/>
        <c:majorTickMark val="none"/>
        <c:minorTickMark val="none"/>
        <c:tickLblPos val="nextTo"/>
        <c:crossAx val="383413727"/>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9</xdr:col>
      <xdr:colOff>0</xdr:colOff>
      <xdr:row>18</xdr:row>
      <xdr:rowOff>126234</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112057</xdr:colOff>
      <xdr:row>0</xdr:row>
      <xdr:rowOff>114299</xdr:rowOff>
    </xdr:from>
    <xdr:to>
      <xdr:col>19</xdr:col>
      <xdr:colOff>168088</xdr:colOff>
      <xdr:row>24</xdr:row>
      <xdr:rowOff>-1</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352402</xdr:colOff>
      <xdr:row>0</xdr:row>
      <xdr:rowOff>175174</xdr:rowOff>
    </xdr:from>
    <xdr:to>
      <xdr:col>26</xdr:col>
      <xdr:colOff>224116</xdr:colOff>
      <xdr:row>31</xdr:row>
      <xdr:rowOff>93381</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19</xdr:row>
      <xdr:rowOff>62459</xdr:rowOff>
    </xdr:from>
    <xdr:to>
      <xdr:col>8</xdr:col>
      <xdr:colOff>541618</xdr:colOff>
      <xdr:row>37</xdr:row>
      <xdr:rowOff>130735</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9</xdr:col>
      <xdr:colOff>241778</xdr:colOff>
      <xdr:row>24</xdr:row>
      <xdr:rowOff>156153</xdr:rowOff>
    </xdr:from>
    <xdr:to>
      <xdr:col>16</xdr:col>
      <xdr:colOff>410882</xdr:colOff>
      <xdr:row>36</xdr:row>
      <xdr:rowOff>56030</xdr:rowOff>
    </xdr:to>
    <mc:AlternateContent xmlns:mc="http://schemas.openxmlformats.org/markup-compatibility/2006" xmlns:a14="http://schemas.microsoft.com/office/drawing/2010/main">
      <mc:Choice Requires="a14">
        <xdr:graphicFrame macro="">
          <xdr:nvGraphicFramePr>
            <xdr:cNvPr id="9" name="Months"/>
            <xdr:cNvGraphicFramePr/>
          </xdr:nvGraphicFramePr>
          <xdr:xfrm>
            <a:off x="0" y="0"/>
            <a:ext cx="0" cy="0"/>
          </xdr:xfrm>
          <a:graphic>
            <a:graphicData uri="http://schemas.microsoft.com/office/drawing/2010/slicer">
              <sle:slicer xmlns:sle="http://schemas.microsoft.com/office/drawing/2010/slicer" name="Months"/>
            </a:graphicData>
          </a:graphic>
        </xdr:graphicFrame>
      </mc:Choice>
      <mc:Fallback xmlns="">
        <xdr:sp macro="" textlink="">
          <xdr:nvSpPr>
            <xdr:cNvPr id="0" name=""/>
            <xdr:cNvSpPr>
              <a:spLocks noTextEdit="1"/>
            </xdr:cNvSpPr>
          </xdr:nvSpPr>
          <xdr:spPr>
            <a:xfrm>
              <a:off x="5671028" y="4728153"/>
              <a:ext cx="4391854" cy="220175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26</xdr:col>
      <xdr:colOff>480109</xdr:colOff>
      <xdr:row>0</xdr:row>
      <xdr:rowOff>163419</xdr:rowOff>
    </xdr:from>
    <xdr:to>
      <xdr:col>34</xdr:col>
      <xdr:colOff>522941</xdr:colOff>
      <xdr:row>31</xdr:row>
      <xdr:rowOff>130734</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2" Type="http://schemas.microsoft.com/office/2006/relationships/xlExternalLinkPath/xlPathMissing" Target="excel2%20(version%202).xlsb"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uthor" refreshedDate="46243.859930439816" createdVersion="6" refreshedVersion="6" minRefreshableVersion="3" recordCount="29">
  <cacheSource type="worksheet">
    <worksheetSource ref="A1:H30" sheet="data" r:id="rId2"/>
  </cacheSource>
  <cacheFields count="9">
    <cacheField name="Date" numFmtId="14">
      <sharedItems containsSemiMixedTypes="0" containsNonDate="0" containsDate="1" containsString="0" minDate="2022-01-03T00:00:00" maxDate="2022-12-16T00:00:00" count="19">
        <d v="2022-01-03T00:00:00"/>
        <d v="2022-02-27T00:00:00"/>
        <d v="2022-03-27T00:00:00"/>
        <d v="2022-04-23T00:00:00"/>
        <d v="2022-04-24T00:00:00"/>
        <d v="2022-04-25T00:00:00"/>
        <d v="2022-05-31T00:00:00"/>
        <d v="2022-06-01T00:00:00"/>
        <d v="2022-06-02T00:00:00"/>
        <d v="2022-07-04T00:00:00"/>
        <d v="2022-08-16T00:00:00"/>
        <d v="2022-08-17T00:00:00"/>
        <d v="2022-08-18T00:00:00"/>
        <d v="2022-09-12T00:00:00"/>
        <d v="2022-10-29T00:00:00"/>
        <d v="2022-11-28T00:00:00"/>
        <d v="2022-11-29T00:00:00"/>
        <d v="2022-12-14T00:00:00"/>
        <d v="2022-12-15T00:00:00"/>
      </sharedItems>
      <fieldGroup par="8" base="0">
        <rangePr groupBy="days" startDate="2022-01-03T00:00:00" endDate="2022-12-16T00:00:00"/>
        <groupItems count="368">
          <s v="&lt;1/3/2022"/>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2/16/2022"/>
        </groupItems>
      </fieldGroup>
    </cacheField>
    <cacheField name="Product" numFmtId="0">
      <sharedItems count="6">
        <s v="Dell XSP 13"/>
        <s v="One Plus Buds"/>
        <s v="Apple AirPods"/>
        <s v="HP Envy x360"/>
        <s v="iPhone 11 pro"/>
        <s v="OnePlus 8 pro"/>
      </sharedItems>
    </cacheField>
    <cacheField name="Category" numFmtId="0">
      <sharedItems count="3">
        <s v="Laptop"/>
        <s v="Headphone"/>
        <s v="Phone"/>
      </sharedItems>
    </cacheField>
    <cacheField name="Sales Rep" numFmtId="0">
      <sharedItems count="5">
        <s v="Aryan"/>
        <s v="Lenin"/>
        <s v="Amar"/>
        <s v="Laxmi"/>
        <s v="Krish"/>
      </sharedItems>
    </cacheField>
    <cacheField name="City" numFmtId="0">
      <sharedItems count="5">
        <s v="Banglore"/>
        <s v="Mumbai"/>
        <s v="Cochin"/>
        <s v="Delhi"/>
        <s v="Hyderabad"/>
      </sharedItems>
    </cacheField>
    <cacheField name="No.of Units" numFmtId="0">
      <sharedItems containsSemiMixedTypes="0" containsString="0" containsNumber="1" containsInteger="1" minValue="3" maxValue="40"/>
    </cacheField>
    <cacheField name="Price" numFmtId="0">
      <sharedItems containsSemiMixedTypes="0" containsString="0" containsNumber="1" containsInteger="1" minValue="60" maxValue="3800"/>
    </cacheField>
    <cacheField name="Amount" numFmtId="0">
      <sharedItems containsSemiMixedTypes="0" containsString="0" containsNumber="1" containsInteger="1" minValue="180" maxValue="80040"/>
    </cacheField>
    <cacheField name="Months" numFmtId="0" databaseField="0">
      <fieldGroup base="0">
        <rangePr groupBy="months" startDate="2022-01-03T00:00:00" endDate="2022-12-16T00:00:00"/>
        <groupItems count="14">
          <s v="&lt;1/3/2022"/>
          <s v="Jan"/>
          <s v="Feb"/>
          <s v="Mar"/>
          <s v="Apr"/>
          <s v="May"/>
          <s v="Jun"/>
          <s v="Jul"/>
          <s v="Aug"/>
          <s v="Sep"/>
          <s v="Oct"/>
          <s v="Nov"/>
          <s v="Dec"/>
          <s v="&gt;12/16/2022"/>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29">
  <r>
    <x v="0"/>
    <x v="0"/>
    <x v="0"/>
    <x v="0"/>
    <x v="0"/>
    <n v="3"/>
    <n v="2001"/>
    <n v="6003"/>
  </r>
  <r>
    <x v="0"/>
    <x v="1"/>
    <x v="1"/>
    <x v="1"/>
    <x v="1"/>
    <n v="31"/>
    <n v="75"/>
    <n v="2325"/>
  </r>
  <r>
    <x v="0"/>
    <x v="2"/>
    <x v="1"/>
    <x v="1"/>
    <x v="1"/>
    <n v="12"/>
    <n v="220"/>
    <n v="2640"/>
  </r>
  <r>
    <x v="1"/>
    <x v="3"/>
    <x v="0"/>
    <x v="2"/>
    <x v="1"/>
    <n v="3"/>
    <n v="3002"/>
    <n v="9006"/>
  </r>
  <r>
    <x v="1"/>
    <x v="4"/>
    <x v="2"/>
    <x v="3"/>
    <x v="0"/>
    <n v="4"/>
    <n v="700"/>
    <n v="2800"/>
  </r>
  <r>
    <x v="1"/>
    <x v="5"/>
    <x v="2"/>
    <x v="0"/>
    <x v="0"/>
    <n v="4"/>
    <n v="900"/>
    <n v="3600"/>
  </r>
  <r>
    <x v="2"/>
    <x v="0"/>
    <x v="0"/>
    <x v="2"/>
    <x v="2"/>
    <n v="10"/>
    <n v="3800"/>
    <n v="38000"/>
  </r>
  <r>
    <x v="2"/>
    <x v="1"/>
    <x v="1"/>
    <x v="3"/>
    <x v="2"/>
    <n v="5"/>
    <n v="60"/>
    <n v="300"/>
  </r>
  <r>
    <x v="2"/>
    <x v="2"/>
    <x v="1"/>
    <x v="4"/>
    <x v="2"/>
    <n v="4"/>
    <n v="70"/>
    <n v="280"/>
  </r>
  <r>
    <x v="3"/>
    <x v="3"/>
    <x v="0"/>
    <x v="1"/>
    <x v="3"/>
    <n v="3"/>
    <n v="1200"/>
    <n v="3600"/>
  </r>
  <r>
    <x v="4"/>
    <x v="4"/>
    <x v="2"/>
    <x v="4"/>
    <x v="3"/>
    <n v="12"/>
    <n v="300"/>
    <n v="3600"/>
  </r>
  <r>
    <x v="5"/>
    <x v="5"/>
    <x v="1"/>
    <x v="0"/>
    <x v="3"/>
    <n v="12"/>
    <n v="2001"/>
    <n v="24012"/>
  </r>
  <r>
    <x v="6"/>
    <x v="0"/>
    <x v="0"/>
    <x v="3"/>
    <x v="4"/>
    <n v="31"/>
    <n v="75"/>
    <n v="3325"/>
  </r>
  <r>
    <x v="7"/>
    <x v="1"/>
    <x v="1"/>
    <x v="2"/>
    <x v="4"/>
    <n v="31"/>
    <n v="220"/>
    <n v="6820"/>
  </r>
  <r>
    <x v="8"/>
    <x v="2"/>
    <x v="1"/>
    <x v="3"/>
    <x v="4"/>
    <n v="5"/>
    <n v="3002"/>
    <n v="6004"/>
  </r>
  <r>
    <x v="9"/>
    <x v="3"/>
    <x v="0"/>
    <x v="4"/>
    <x v="0"/>
    <n v="5"/>
    <n v="3800"/>
    <n v="19000"/>
  </r>
  <r>
    <x v="9"/>
    <x v="0"/>
    <x v="0"/>
    <x v="4"/>
    <x v="0"/>
    <n v="4"/>
    <n v="2001"/>
    <n v="8004"/>
  </r>
  <r>
    <x v="9"/>
    <x v="3"/>
    <x v="0"/>
    <x v="3"/>
    <x v="2"/>
    <n v="4"/>
    <n v="60"/>
    <n v="240"/>
  </r>
  <r>
    <x v="10"/>
    <x v="1"/>
    <x v="1"/>
    <x v="1"/>
    <x v="2"/>
    <n v="40"/>
    <n v="75"/>
    <n v="3000"/>
  </r>
  <r>
    <x v="11"/>
    <x v="4"/>
    <x v="2"/>
    <x v="0"/>
    <x v="1"/>
    <n v="40"/>
    <n v="300"/>
    <n v="1200"/>
  </r>
  <r>
    <x v="12"/>
    <x v="5"/>
    <x v="1"/>
    <x v="4"/>
    <x v="1"/>
    <n v="3"/>
    <n v="60"/>
    <n v="180"/>
  </r>
  <r>
    <x v="13"/>
    <x v="1"/>
    <x v="1"/>
    <x v="0"/>
    <x v="0"/>
    <n v="35"/>
    <n v="75"/>
    <n v="2625"/>
  </r>
  <r>
    <x v="14"/>
    <x v="0"/>
    <x v="0"/>
    <x v="4"/>
    <x v="0"/>
    <n v="4"/>
    <n v="3800"/>
    <n v="15200"/>
  </r>
  <r>
    <x v="14"/>
    <x v="3"/>
    <x v="0"/>
    <x v="1"/>
    <x v="4"/>
    <n v="40"/>
    <n v="2001"/>
    <n v="80040"/>
  </r>
  <r>
    <x v="14"/>
    <x v="2"/>
    <x v="1"/>
    <x v="3"/>
    <x v="4"/>
    <n v="5"/>
    <n v="220"/>
    <n v="1100"/>
  </r>
  <r>
    <x v="15"/>
    <x v="1"/>
    <x v="1"/>
    <x v="1"/>
    <x v="4"/>
    <n v="4"/>
    <n v="60"/>
    <n v="240"/>
  </r>
  <r>
    <x v="16"/>
    <x v="5"/>
    <x v="1"/>
    <x v="2"/>
    <x v="3"/>
    <n v="4"/>
    <n v="75"/>
    <n v="300"/>
  </r>
  <r>
    <x v="17"/>
    <x v="0"/>
    <x v="0"/>
    <x v="2"/>
    <x v="3"/>
    <n v="5"/>
    <n v="3002"/>
    <n v="15010"/>
  </r>
  <r>
    <x v="18"/>
    <x v="3"/>
    <x v="0"/>
    <x v="4"/>
    <x v="3"/>
    <n v="12"/>
    <n v="3002"/>
    <n v="3602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sales by category"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location ref="D1:E5" firstHeaderRow="1" firstDataRow="1" firstDataCol="1"/>
  <pivotFields count="9">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7">
        <item x="2"/>
        <item x="0"/>
        <item x="3"/>
        <item x="4"/>
        <item x="1"/>
        <item x="5"/>
        <item t="default"/>
      </items>
    </pivotField>
    <pivotField axis="axisRow" showAll="0">
      <items count="4">
        <item x="1"/>
        <item x="0"/>
        <item x="2"/>
        <item t="default"/>
      </items>
    </pivotField>
    <pivotField showAll="0"/>
    <pivotField showAll="0"/>
    <pivotField showAll="0"/>
    <pivotField dataField="1" showAll="0"/>
    <pivotField showAll="0"/>
    <pivotField showAll="0" defaultSubtotal="0">
      <items count="14">
        <item h="1" x="0"/>
        <item x="1"/>
        <item x="2"/>
        <item x="3"/>
        <item x="4"/>
        <item x="5"/>
        <item x="6"/>
        <item x="7"/>
        <item x="8"/>
        <item x="9"/>
        <item x="10"/>
        <item x="11"/>
        <item x="12"/>
        <item h="1" x="13"/>
      </items>
    </pivotField>
  </pivotFields>
  <rowFields count="1">
    <field x="2"/>
  </rowFields>
  <rowItems count="4">
    <i>
      <x/>
    </i>
    <i>
      <x v="1"/>
    </i>
    <i>
      <x v="2"/>
    </i>
    <i t="grand">
      <x/>
    </i>
  </rowItems>
  <colItems count="1">
    <i/>
  </colItems>
  <dataFields count="1">
    <dataField name="Sum of Price" fld="6" baseField="0" baseItem="0"/>
  </dataFields>
  <chartFormats count="5">
    <chartFormat chart="1" format="0" series="1">
      <pivotArea type="data" outline="0" fieldPosition="0">
        <references count="1">
          <reference field="4294967294" count="1" selected="0">
            <x v="0"/>
          </reference>
        </references>
      </pivotArea>
    </chartFormat>
    <chartFormat chart="4" format="9" series="1">
      <pivotArea type="data" outline="0" fieldPosition="0">
        <references count="1">
          <reference field="4294967294" count="1" selected="0">
            <x v="0"/>
          </reference>
        </references>
      </pivotArea>
    </chartFormat>
    <chartFormat chart="4" format="10">
      <pivotArea type="data" outline="0" fieldPosition="0">
        <references count="2">
          <reference field="4294967294" count="1" selected="0">
            <x v="0"/>
          </reference>
          <reference field="2" count="1" selected="0">
            <x v="0"/>
          </reference>
        </references>
      </pivotArea>
    </chartFormat>
    <chartFormat chart="4" format="11">
      <pivotArea type="data" outline="0" fieldPosition="0">
        <references count="2">
          <reference field="4294967294" count="1" selected="0">
            <x v="0"/>
          </reference>
          <reference field="2" count="1" selected="0">
            <x v="1"/>
          </reference>
        </references>
      </pivotArea>
    </chartFormat>
    <chartFormat chart="4" format="12">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roduct wise tabel"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D7:E14" firstHeaderRow="1" firstDataRow="1" firstDataCol="1"/>
  <pivotFields count="9">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7">
        <item x="2"/>
        <item x="0"/>
        <item x="3"/>
        <item x="4"/>
        <item x="1"/>
        <item x="5"/>
        <item t="default"/>
      </items>
    </pivotField>
    <pivotField showAll="0"/>
    <pivotField showAll="0"/>
    <pivotField showAll="0"/>
    <pivotField showAll="0"/>
    <pivotField dataField="1" showAll="0"/>
    <pivotField showAll="0"/>
    <pivotField showAll="0" defaultSubtotal="0">
      <items count="14">
        <item h="1" x="0"/>
        <item x="1"/>
        <item x="2"/>
        <item x="3"/>
        <item x="4"/>
        <item x="5"/>
        <item x="6"/>
        <item x="7"/>
        <item x="8"/>
        <item x="9"/>
        <item x="10"/>
        <item x="11"/>
        <item x="12"/>
        <item h="1" x="13"/>
      </items>
    </pivotField>
  </pivotFields>
  <rowFields count="1">
    <field x="1"/>
  </rowFields>
  <rowItems count="7">
    <i>
      <x/>
    </i>
    <i>
      <x v="1"/>
    </i>
    <i>
      <x v="2"/>
    </i>
    <i>
      <x v="3"/>
    </i>
    <i>
      <x v="4"/>
    </i>
    <i>
      <x v="5"/>
    </i>
    <i t="grand">
      <x/>
    </i>
  </rowItems>
  <colItems count="1">
    <i/>
  </colItems>
  <dataFields count="1">
    <dataField name="Sum of Price" fld="6" baseField="0" baseItem="0"/>
  </dataFields>
  <chartFormats count="3">
    <chartFormat chart="2" format="0" series="1">
      <pivotArea type="data" outline="0" fieldPosition="0">
        <references count="1">
          <reference field="4294967294" count="1" selected="0">
            <x v="0"/>
          </reference>
        </references>
      </pivotArea>
    </chartFormat>
    <chartFormat chart="5" format="4">
      <pivotArea type="data" outline="0" fieldPosition="0">
        <references count="2">
          <reference field="4294967294" count="1" selected="0">
            <x v="0"/>
          </reference>
          <reference field="1" count="1" selected="0">
            <x v="2"/>
          </reference>
        </references>
      </pivotArea>
    </chartFormat>
    <chartFormat chart="5"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date"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3">
  <location ref="A1:B14" firstHeaderRow="1" firstDataRow="1" firstDataCol="1"/>
  <pivotFields count="9">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7">
        <item x="2"/>
        <item x="0"/>
        <item x="3"/>
        <item x="4"/>
        <item x="1"/>
        <item x="5"/>
        <item t="default"/>
      </items>
    </pivotField>
    <pivotField showAll="0"/>
    <pivotField showAll="0"/>
    <pivotField showAll="0"/>
    <pivotField showAll="0"/>
    <pivotField dataField="1"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s>
  <rowFields count="1">
    <field x="8"/>
  </rowFields>
  <rowItems count="13">
    <i>
      <x v="1"/>
    </i>
    <i>
      <x v="2"/>
    </i>
    <i>
      <x v="3"/>
    </i>
    <i>
      <x v="4"/>
    </i>
    <i>
      <x v="5"/>
    </i>
    <i>
      <x v="6"/>
    </i>
    <i>
      <x v="7"/>
    </i>
    <i>
      <x v="8"/>
    </i>
    <i>
      <x v="9"/>
    </i>
    <i>
      <x v="10"/>
    </i>
    <i>
      <x v="11"/>
    </i>
    <i>
      <x v="12"/>
    </i>
    <i t="grand">
      <x/>
    </i>
  </rowItems>
  <colItems count="1">
    <i/>
  </colItems>
  <dataFields count="1">
    <dataField name="Sum of Price" fld="6" baseField="0" baseItem="0"/>
  </dataFields>
  <chartFormats count="6">
    <chartFormat chart="8" format="1"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sales by city"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G9:H15" firstHeaderRow="1" firstDataRow="1" firstDataCol="1"/>
  <pivotFields count="9">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7">
        <item x="2"/>
        <item x="0"/>
        <item x="3"/>
        <item x="4"/>
        <item x="1"/>
        <item x="5"/>
        <item t="default"/>
      </items>
    </pivotField>
    <pivotField showAll="0">
      <items count="4">
        <item x="1"/>
        <item x="0"/>
        <item x="2"/>
        <item t="default"/>
      </items>
    </pivotField>
    <pivotField showAll="0">
      <items count="6">
        <item x="2"/>
        <item x="0"/>
        <item x="4"/>
        <item x="3"/>
        <item x="1"/>
        <item t="default"/>
      </items>
    </pivotField>
    <pivotField axis="axisRow" showAll="0">
      <items count="6">
        <item x="0"/>
        <item x="2"/>
        <item x="3"/>
        <item x="4"/>
        <item x="1"/>
        <item t="default"/>
      </items>
    </pivotField>
    <pivotField showAll="0"/>
    <pivotField dataField="1" showAll="0"/>
    <pivotField showAll="0"/>
    <pivotField showAll="0" defaultSubtotal="0">
      <items count="14">
        <item h="1" x="0"/>
        <item x="1"/>
        <item x="2"/>
        <item x="3"/>
        <item x="4"/>
        <item x="5"/>
        <item x="6"/>
        <item x="7"/>
        <item x="8"/>
        <item x="9"/>
        <item x="10"/>
        <item x="11"/>
        <item x="12"/>
        <item h="1" x="13"/>
      </items>
    </pivotField>
  </pivotFields>
  <rowFields count="1">
    <field x="4"/>
  </rowFields>
  <rowItems count="6">
    <i>
      <x/>
    </i>
    <i>
      <x v="1"/>
    </i>
    <i>
      <x v="2"/>
    </i>
    <i>
      <x v="3"/>
    </i>
    <i>
      <x v="4"/>
    </i>
    <i t="grand">
      <x/>
    </i>
  </rowItems>
  <colItems count="1">
    <i/>
  </colItems>
  <dataFields count="1">
    <dataField name="Sum of Price" fld="6" baseField="0" baseItem="0"/>
  </dataFields>
  <chartFormats count="7">
    <chartFormat chart="1"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4" count="1" selected="0">
            <x v="0"/>
          </reference>
        </references>
      </pivotArea>
    </chartFormat>
    <chartFormat chart="4" format="6">
      <pivotArea type="data" outline="0" fieldPosition="0">
        <references count="2">
          <reference field="4294967294" count="1" selected="0">
            <x v="0"/>
          </reference>
          <reference field="4" count="1" selected="0">
            <x v="2"/>
          </reference>
        </references>
      </pivotArea>
    </chartFormat>
    <chartFormat chart="4" format="7">
      <pivotArea type="data" outline="0" fieldPosition="0">
        <references count="2">
          <reference field="4294967294" count="1" selected="0">
            <x v="0"/>
          </reference>
          <reference field="4" count="1" selected="0">
            <x v="3"/>
          </reference>
        </references>
      </pivotArea>
    </chartFormat>
    <chartFormat chart="4" format="8">
      <pivotArea type="data" outline="0" fieldPosition="0">
        <references count="2">
          <reference field="4294967294" count="1" selected="0">
            <x v="0"/>
          </reference>
          <reference field="4" count="1" selected="0">
            <x v="1"/>
          </reference>
        </references>
      </pivotArea>
    </chartFormat>
    <chartFormat chart="4" format="9">
      <pivotArea type="data" outline="0" fieldPosition="0">
        <references count="2">
          <reference field="4294967294" count="1" selected="0">
            <x v="0"/>
          </reference>
          <reference field="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sales by salesrep"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location ref="G1:H7" firstHeaderRow="1" firstDataRow="1" firstDataCol="1"/>
  <pivotFields count="9">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7">
        <item x="2"/>
        <item x="0"/>
        <item x="3"/>
        <item x="4"/>
        <item x="1"/>
        <item x="5"/>
        <item t="default"/>
      </items>
    </pivotField>
    <pivotField showAll="0">
      <items count="4">
        <item x="1"/>
        <item x="0"/>
        <item x="2"/>
        <item t="default"/>
      </items>
    </pivotField>
    <pivotField axis="axisRow" showAll="0">
      <items count="6">
        <item x="2"/>
        <item x="0"/>
        <item x="4"/>
        <item x="3"/>
        <item x="1"/>
        <item t="default"/>
      </items>
    </pivotField>
    <pivotField showAll="0"/>
    <pivotField showAll="0"/>
    <pivotField dataField="1" showAll="0"/>
    <pivotField showAll="0"/>
    <pivotField showAll="0" defaultSubtotal="0">
      <items count="14">
        <item h="1" x="0"/>
        <item x="1"/>
        <item x="2"/>
        <item x="3"/>
        <item x="4"/>
        <item x="5"/>
        <item x="6"/>
        <item x="7"/>
        <item x="8"/>
        <item x="9"/>
        <item x="10"/>
        <item x="11"/>
        <item x="12"/>
        <item h="1" x="13"/>
      </items>
    </pivotField>
  </pivotFields>
  <rowFields count="1">
    <field x="3"/>
  </rowFields>
  <rowItems count="6">
    <i>
      <x/>
    </i>
    <i>
      <x v="1"/>
    </i>
    <i>
      <x v="2"/>
    </i>
    <i>
      <x v="3"/>
    </i>
    <i>
      <x v="4"/>
    </i>
    <i t="grand">
      <x/>
    </i>
  </rowItems>
  <colItems count="1">
    <i/>
  </colItems>
  <dataFields count="1">
    <dataField name="Sum of Price" fld="6" baseField="0" baseItem="0"/>
  </dataFields>
  <chartFormats count="2">
    <chartFormat chart="3" format="0"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Months" sourceName="Months">
  <pivotTables>
    <pivotTable tabId="3" name="product wise tabel"/>
    <pivotTable tabId="3" name="sales by category"/>
    <pivotTable tabId="3" name="sales by salesrep"/>
    <pivotTable tabId="3" name="sales by city"/>
  </pivotTables>
  <data>
    <tabular pivotCacheId="1">
      <items count="14">
        <i x="1" s="1"/>
        <i x="2" s="1"/>
        <i x="3" s="1"/>
        <i x="4" s="1"/>
        <i x="5" s="1"/>
        <i x="6" s="1"/>
        <i x="7" s="1"/>
        <i x="8" s="1"/>
        <i x="9" s="1"/>
        <i x="10" s="1"/>
        <i x="11" s="1"/>
        <i x="12" s="1"/>
        <i x="0" nd="1"/>
        <i x="1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Months" cache="Slicer_Months" caption="Months" columnCount="2"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1"/>
  <sheetViews>
    <sheetView tabSelected="1" zoomScale="69" workbookViewId="0">
      <selection activeCell="P17" sqref="P17"/>
    </sheetView>
  </sheetViews>
  <sheetFormatPr defaultRowHeight="15" x14ac:dyDescent="0.25"/>
  <cols>
    <col min="1" max="1" width="12.140625" customWidth="1"/>
    <col min="2" max="2" width="16" customWidth="1"/>
    <col min="3" max="3" width="15.7109375" customWidth="1"/>
    <col min="4" max="4" width="17.28515625" customWidth="1"/>
    <col min="5" max="5" width="11.42578125" customWidth="1"/>
    <col min="6" max="6" width="18.5703125" customWidth="1"/>
    <col min="7" max="7" width="11.85546875" customWidth="1"/>
    <col min="8" max="8" width="14.5703125" customWidth="1"/>
  </cols>
  <sheetData>
    <row r="1" spans="1:8" ht="18.75" x14ac:dyDescent="0.3">
      <c r="A1" s="8" t="s">
        <v>0</v>
      </c>
      <c r="B1" s="8" t="s">
        <v>1</v>
      </c>
      <c r="C1" s="8" t="s">
        <v>2</v>
      </c>
      <c r="D1" s="8" t="s">
        <v>3</v>
      </c>
      <c r="E1" s="8" t="s">
        <v>4</v>
      </c>
      <c r="F1" s="8" t="s">
        <v>5</v>
      </c>
      <c r="G1" s="8" t="s">
        <v>6</v>
      </c>
      <c r="H1" s="8" t="s">
        <v>7</v>
      </c>
    </row>
    <row r="2" spans="1:8" x14ac:dyDescent="0.25">
      <c r="A2" s="1">
        <v>44564</v>
      </c>
      <c r="B2" t="s">
        <v>8</v>
      </c>
      <c r="C2" t="s">
        <v>9</v>
      </c>
      <c r="D2" t="s">
        <v>10</v>
      </c>
      <c r="E2" t="s">
        <v>11</v>
      </c>
      <c r="F2">
        <v>3</v>
      </c>
      <c r="G2" s="2">
        <v>2001</v>
      </c>
      <c r="H2" s="2">
        <v>6003</v>
      </c>
    </row>
    <row r="3" spans="1:8" x14ac:dyDescent="0.25">
      <c r="A3" s="1">
        <v>44564</v>
      </c>
      <c r="B3" t="s">
        <v>12</v>
      </c>
      <c r="C3" t="s">
        <v>13</v>
      </c>
      <c r="D3" t="s">
        <v>14</v>
      </c>
      <c r="E3" t="s">
        <v>15</v>
      </c>
      <c r="F3">
        <v>31</v>
      </c>
      <c r="G3">
        <v>75</v>
      </c>
      <c r="H3" s="2">
        <v>2325</v>
      </c>
    </row>
    <row r="4" spans="1:8" x14ac:dyDescent="0.25">
      <c r="A4" s="1">
        <v>44564</v>
      </c>
      <c r="B4" t="s">
        <v>16</v>
      </c>
      <c r="C4" t="s">
        <v>13</v>
      </c>
      <c r="D4" t="s">
        <v>14</v>
      </c>
      <c r="E4" t="s">
        <v>15</v>
      </c>
      <c r="F4">
        <v>12</v>
      </c>
      <c r="G4">
        <v>220</v>
      </c>
      <c r="H4" s="2">
        <v>2640</v>
      </c>
    </row>
    <row r="5" spans="1:8" x14ac:dyDescent="0.25">
      <c r="A5" s="1">
        <v>44619</v>
      </c>
      <c r="B5" t="s">
        <v>17</v>
      </c>
      <c r="C5" t="s">
        <v>9</v>
      </c>
      <c r="D5" t="s">
        <v>18</v>
      </c>
      <c r="E5" t="s">
        <v>15</v>
      </c>
      <c r="F5">
        <v>3</v>
      </c>
      <c r="G5" s="2">
        <v>3002</v>
      </c>
      <c r="H5" s="2">
        <v>9006</v>
      </c>
    </row>
    <row r="6" spans="1:8" x14ac:dyDescent="0.25">
      <c r="A6" s="1">
        <v>44619</v>
      </c>
      <c r="B6" t="s">
        <v>19</v>
      </c>
      <c r="C6" t="s">
        <v>20</v>
      </c>
      <c r="D6" t="s">
        <v>21</v>
      </c>
      <c r="E6" t="s">
        <v>11</v>
      </c>
      <c r="F6">
        <v>4</v>
      </c>
      <c r="G6">
        <v>700</v>
      </c>
      <c r="H6" s="2">
        <v>2800</v>
      </c>
    </row>
    <row r="7" spans="1:8" x14ac:dyDescent="0.25">
      <c r="A7" s="1">
        <v>44619</v>
      </c>
      <c r="B7" t="s">
        <v>22</v>
      </c>
      <c r="C7" t="s">
        <v>20</v>
      </c>
      <c r="D7" t="s">
        <v>10</v>
      </c>
      <c r="E7" t="s">
        <v>11</v>
      </c>
      <c r="F7">
        <v>4</v>
      </c>
      <c r="G7">
        <v>900</v>
      </c>
      <c r="H7" s="2">
        <v>3600</v>
      </c>
    </row>
    <row r="8" spans="1:8" x14ac:dyDescent="0.25">
      <c r="A8" s="1">
        <v>44647</v>
      </c>
      <c r="B8" t="s">
        <v>8</v>
      </c>
      <c r="C8" t="s">
        <v>9</v>
      </c>
      <c r="D8" t="s">
        <v>18</v>
      </c>
      <c r="E8" t="s">
        <v>23</v>
      </c>
      <c r="F8">
        <v>10</v>
      </c>
      <c r="G8" s="2">
        <v>3800</v>
      </c>
      <c r="H8" s="2">
        <v>38000</v>
      </c>
    </row>
    <row r="9" spans="1:8" x14ac:dyDescent="0.25">
      <c r="A9" s="1">
        <v>44647</v>
      </c>
      <c r="B9" t="s">
        <v>12</v>
      </c>
      <c r="C9" t="s">
        <v>13</v>
      </c>
      <c r="D9" t="s">
        <v>21</v>
      </c>
      <c r="E9" t="s">
        <v>23</v>
      </c>
      <c r="F9">
        <v>5</v>
      </c>
      <c r="G9">
        <v>60</v>
      </c>
      <c r="H9">
        <v>300</v>
      </c>
    </row>
    <row r="10" spans="1:8" x14ac:dyDescent="0.25">
      <c r="A10" s="1">
        <v>44647</v>
      </c>
      <c r="B10" t="s">
        <v>16</v>
      </c>
      <c r="C10" t="s">
        <v>13</v>
      </c>
      <c r="D10" t="s">
        <v>24</v>
      </c>
      <c r="E10" t="s">
        <v>23</v>
      </c>
      <c r="F10">
        <v>4</v>
      </c>
      <c r="G10">
        <v>70</v>
      </c>
      <c r="H10">
        <v>280</v>
      </c>
    </row>
    <row r="11" spans="1:8" x14ac:dyDescent="0.25">
      <c r="A11" s="1">
        <v>44674</v>
      </c>
      <c r="B11" t="s">
        <v>17</v>
      </c>
      <c r="C11" t="s">
        <v>9</v>
      </c>
      <c r="D11" t="s">
        <v>14</v>
      </c>
      <c r="E11" t="s">
        <v>25</v>
      </c>
      <c r="F11">
        <v>3</v>
      </c>
      <c r="G11" s="2">
        <v>1200</v>
      </c>
      <c r="H11" s="2">
        <v>3600</v>
      </c>
    </row>
    <row r="12" spans="1:8" x14ac:dyDescent="0.25">
      <c r="A12" s="1">
        <v>44675</v>
      </c>
      <c r="B12" t="s">
        <v>19</v>
      </c>
      <c r="C12" t="s">
        <v>20</v>
      </c>
      <c r="D12" t="s">
        <v>24</v>
      </c>
      <c r="E12" t="s">
        <v>25</v>
      </c>
      <c r="F12">
        <v>12</v>
      </c>
      <c r="G12">
        <v>300</v>
      </c>
      <c r="H12" s="2">
        <v>3600</v>
      </c>
    </row>
    <row r="13" spans="1:8" x14ac:dyDescent="0.25">
      <c r="A13" s="1">
        <v>44676</v>
      </c>
      <c r="B13" t="s">
        <v>22</v>
      </c>
      <c r="C13" t="s">
        <v>13</v>
      </c>
      <c r="D13" t="s">
        <v>10</v>
      </c>
      <c r="E13" t="s">
        <v>25</v>
      </c>
      <c r="F13">
        <v>12</v>
      </c>
      <c r="G13" s="2">
        <v>2001</v>
      </c>
      <c r="H13" s="2">
        <v>24012</v>
      </c>
    </row>
    <row r="14" spans="1:8" x14ac:dyDescent="0.25">
      <c r="A14" s="1">
        <v>44712</v>
      </c>
      <c r="B14" t="s">
        <v>8</v>
      </c>
      <c r="C14" t="s">
        <v>9</v>
      </c>
      <c r="D14" t="s">
        <v>21</v>
      </c>
      <c r="E14" t="s">
        <v>26</v>
      </c>
      <c r="F14">
        <v>31</v>
      </c>
      <c r="G14">
        <v>75</v>
      </c>
      <c r="H14" s="2">
        <v>3325</v>
      </c>
    </row>
    <row r="15" spans="1:8" x14ac:dyDescent="0.25">
      <c r="A15" s="1">
        <v>44713</v>
      </c>
      <c r="B15" t="s">
        <v>12</v>
      </c>
      <c r="C15" t="s">
        <v>13</v>
      </c>
      <c r="D15" t="s">
        <v>18</v>
      </c>
      <c r="E15" t="s">
        <v>26</v>
      </c>
      <c r="F15">
        <v>31</v>
      </c>
      <c r="G15">
        <v>220</v>
      </c>
      <c r="H15" s="2">
        <v>6820</v>
      </c>
    </row>
    <row r="16" spans="1:8" x14ac:dyDescent="0.25">
      <c r="A16" s="1">
        <v>44714</v>
      </c>
      <c r="B16" t="s">
        <v>16</v>
      </c>
      <c r="C16" t="s">
        <v>13</v>
      </c>
      <c r="D16" t="s">
        <v>21</v>
      </c>
      <c r="E16" t="s">
        <v>26</v>
      </c>
      <c r="F16">
        <v>5</v>
      </c>
      <c r="G16" s="2">
        <v>3002</v>
      </c>
      <c r="H16" s="2">
        <v>6004</v>
      </c>
    </row>
    <row r="17" spans="1:8" x14ac:dyDescent="0.25">
      <c r="A17" s="1">
        <v>44746</v>
      </c>
      <c r="B17" t="s">
        <v>17</v>
      </c>
      <c r="C17" t="s">
        <v>9</v>
      </c>
      <c r="D17" t="s">
        <v>24</v>
      </c>
      <c r="E17" t="s">
        <v>11</v>
      </c>
      <c r="F17">
        <v>5</v>
      </c>
      <c r="G17" s="2">
        <v>3800</v>
      </c>
      <c r="H17" s="2">
        <v>19000</v>
      </c>
    </row>
    <row r="18" spans="1:8" x14ac:dyDescent="0.25">
      <c r="A18" s="1">
        <v>44746</v>
      </c>
      <c r="B18" t="s">
        <v>8</v>
      </c>
      <c r="C18" t="s">
        <v>9</v>
      </c>
      <c r="D18" t="s">
        <v>24</v>
      </c>
      <c r="E18" t="s">
        <v>11</v>
      </c>
      <c r="F18">
        <v>4</v>
      </c>
      <c r="G18" s="2">
        <v>2001</v>
      </c>
      <c r="H18" s="2">
        <v>8004</v>
      </c>
    </row>
    <row r="19" spans="1:8" x14ac:dyDescent="0.25">
      <c r="A19" s="1">
        <v>44746</v>
      </c>
      <c r="B19" t="s">
        <v>17</v>
      </c>
      <c r="C19" t="s">
        <v>9</v>
      </c>
      <c r="D19" t="s">
        <v>21</v>
      </c>
      <c r="E19" t="s">
        <v>23</v>
      </c>
      <c r="F19">
        <v>4</v>
      </c>
      <c r="G19">
        <v>60</v>
      </c>
      <c r="H19">
        <v>240</v>
      </c>
    </row>
    <row r="20" spans="1:8" x14ac:dyDescent="0.25">
      <c r="A20" s="1">
        <v>44789</v>
      </c>
      <c r="B20" t="s">
        <v>12</v>
      </c>
      <c r="C20" t="s">
        <v>13</v>
      </c>
      <c r="D20" t="s">
        <v>14</v>
      </c>
      <c r="E20" t="s">
        <v>23</v>
      </c>
      <c r="F20">
        <v>40</v>
      </c>
      <c r="G20">
        <v>75</v>
      </c>
      <c r="H20" s="2">
        <v>3000</v>
      </c>
    </row>
    <row r="21" spans="1:8" x14ac:dyDescent="0.25">
      <c r="A21" s="1">
        <v>44790</v>
      </c>
      <c r="B21" t="s">
        <v>19</v>
      </c>
      <c r="C21" t="s">
        <v>20</v>
      </c>
      <c r="D21" t="s">
        <v>10</v>
      </c>
      <c r="E21" t="s">
        <v>15</v>
      </c>
      <c r="F21">
        <v>40</v>
      </c>
      <c r="G21">
        <v>300</v>
      </c>
      <c r="H21" s="2">
        <v>1200</v>
      </c>
    </row>
    <row r="22" spans="1:8" x14ac:dyDescent="0.25">
      <c r="A22" s="1">
        <v>44791</v>
      </c>
      <c r="B22" t="s">
        <v>22</v>
      </c>
      <c r="C22" t="s">
        <v>13</v>
      </c>
      <c r="D22" t="s">
        <v>24</v>
      </c>
      <c r="E22" t="s">
        <v>15</v>
      </c>
      <c r="F22">
        <v>3</v>
      </c>
      <c r="G22">
        <v>60</v>
      </c>
      <c r="H22">
        <v>180</v>
      </c>
    </row>
    <row r="23" spans="1:8" x14ac:dyDescent="0.25">
      <c r="A23" s="1">
        <v>44816</v>
      </c>
      <c r="B23" t="s">
        <v>12</v>
      </c>
      <c r="C23" t="s">
        <v>13</v>
      </c>
      <c r="D23" t="s">
        <v>10</v>
      </c>
      <c r="E23" t="s">
        <v>11</v>
      </c>
      <c r="F23">
        <v>35</v>
      </c>
      <c r="G23">
        <v>75</v>
      </c>
      <c r="H23" s="2">
        <v>2625</v>
      </c>
    </row>
    <row r="24" spans="1:8" x14ac:dyDescent="0.25">
      <c r="A24" s="1">
        <v>44863</v>
      </c>
      <c r="B24" t="s">
        <v>8</v>
      </c>
      <c r="C24" t="s">
        <v>9</v>
      </c>
      <c r="D24" t="s">
        <v>24</v>
      </c>
      <c r="E24" t="s">
        <v>11</v>
      </c>
      <c r="F24">
        <v>4</v>
      </c>
      <c r="G24" s="2">
        <v>3800</v>
      </c>
      <c r="H24" s="2">
        <v>15200</v>
      </c>
    </row>
    <row r="25" spans="1:8" x14ac:dyDescent="0.25">
      <c r="A25" s="1">
        <v>44863</v>
      </c>
      <c r="B25" t="s">
        <v>17</v>
      </c>
      <c r="C25" t="s">
        <v>9</v>
      </c>
      <c r="D25" t="s">
        <v>14</v>
      </c>
      <c r="E25" t="s">
        <v>26</v>
      </c>
      <c r="F25">
        <v>40</v>
      </c>
      <c r="G25" s="2">
        <v>2001</v>
      </c>
      <c r="H25" s="2">
        <v>80040</v>
      </c>
    </row>
    <row r="26" spans="1:8" x14ac:dyDescent="0.25">
      <c r="A26" s="1">
        <v>44863</v>
      </c>
      <c r="B26" t="s">
        <v>16</v>
      </c>
      <c r="C26" t="s">
        <v>13</v>
      </c>
      <c r="D26" t="s">
        <v>21</v>
      </c>
      <c r="E26" t="s">
        <v>26</v>
      </c>
      <c r="F26">
        <v>5</v>
      </c>
      <c r="G26">
        <v>220</v>
      </c>
      <c r="H26" s="2">
        <v>1100</v>
      </c>
    </row>
    <row r="27" spans="1:8" x14ac:dyDescent="0.25">
      <c r="A27" s="1">
        <v>44893</v>
      </c>
      <c r="B27" t="s">
        <v>12</v>
      </c>
      <c r="C27" t="s">
        <v>13</v>
      </c>
      <c r="D27" t="s">
        <v>14</v>
      </c>
      <c r="E27" t="s">
        <v>26</v>
      </c>
      <c r="F27">
        <v>4</v>
      </c>
      <c r="G27">
        <v>60</v>
      </c>
      <c r="H27">
        <v>240</v>
      </c>
    </row>
    <row r="28" spans="1:8" x14ac:dyDescent="0.25">
      <c r="A28" s="1">
        <v>44894</v>
      </c>
      <c r="B28" t="s">
        <v>22</v>
      </c>
      <c r="C28" t="s">
        <v>13</v>
      </c>
      <c r="D28" t="s">
        <v>18</v>
      </c>
      <c r="E28" t="s">
        <v>25</v>
      </c>
      <c r="F28">
        <v>4</v>
      </c>
      <c r="G28">
        <v>75</v>
      </c>
      <c r="H28">
        <v>300</v>
      </c>
    </row>
    <row r="29" spans="1:8" x14ac:dyDescent="0.25">
      <c r="A29" s="1">
        <v>44909</v>
      </c>
      <c r="B29" t="s">
        <v>8</v>
      </c>
      <c r="C29" t="s">
        <v>9</v>
      </c>
      <c r="D29" t="s">
        <v>18</v>
      </c>
      <c r="E29" t="s">
        <v>25</v>
      </c>
      <c r="F29">
        <v>5</v>
      </c>
      <c r="G29" s="2">
        <v>3002</v>
      </c>
      <c r="H29" s="2">
        <v>15010</v>
      </c>
    </row>
    <row r="30" spans="1:8" x14ac:dyDescent="0.25">
      <c r="A30" s="1">
        <v>44910</v>
      </c>
      <c r="B30" t="s">
        <v>17</v>
      </c>
      <c r="C30" t="s">
        <v>9</v>
      </c>
      <c r="D30" t="s">
        <v>24</v>
      </c>
      <c r="E30" t="s">
        <v>25</v>
      </c>
      <c r="F30">
        <v>12</v>
      </c>
      <c r="G30" s="2">
        <v>3002</v>
      </c>
      <c r="H30" s="2">
        <v>36024</v>
      </c>
    </row>
    <row r="31" spans="1:8" x14ac:dyDescent="0.25">
      <c r="H31" s="7">
        <f>SUM(H2:H30)</f>
        <v>294478</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5"/>
  <sheetViews>
    <sheetView workbookViewId="0">
      <selection activeCell="B6" sqref="B6"/>
    </sheetView>
  </sheetViews>
  <sheetFormatPr defaultRowHeight="15" x14ac:dyDescent="0.25"/>
  <cols>
    <col min="1" max="1" width="13.7109375" bestFit="1" customWidth="1"/>
    <col min="2" max="2" width="12" bestFit="1" customWidth="1"/>
    <col min="4" max="4" width="13.140625" customWidth="1"/>
    <col min="5" max="5" width="12" bestFit="1" customWidth="1"/>
    <col min="7" max="7" width="13.140625" bestFit="1" customWidth="1"/>
    <col min="8" max="8" width="12" bestFit="1" customWidth="1"/>
    <col min="10" max="10" width="13.140625" customWidth="1"/>
    <col min="11" max="11" width="12" bestFit="1" customWidth="1"/>
  </cols>
  <sheetData>
    <row r="1" spans="1:8" x14ac:dyDescent="0.25">
      <c r="A1" s="3" t="s">
        <v>27</v>
      </c>
      <c r="B1" t="s">
        <v>29</v>
      </c>
      <c r="D1" s="3" t="s">
        <v>27</v>
      </c>
      <c r="E1" t="s">
        <v>29</v>
      </c>
      <c r="G1" s="3" t="s">
        <v>27</v>
      </c>
      <c r="H1" t="s">
        <v>29</v>
      </c>
    </row>
    <row r="2" spans="1:8" x14ac:dyDescent="0.25">
      <c r="A2" s="4" t="s">
        <v>30</v>
      </c>
      <c r="B2" s="5">
        <v>2296</v>
      </c>
      <c r="D2" s="4" t="s">
        <v>13</v>
      </c>
      <c r="E2" s="5">
        <v>6213</v>
      </c>
      <c r="G2" s="4" t="s">
        <v>18</v>
      </c>
      <c r="H2" s="5">
        <v>10099</v>
      </c>
    </row>
    <row r="3" spans="1:8" x14ac:dyDescent="0.25">
      <c r="A3" s="4" t="s">
        <v>37</v>
      </c>
      <c r="B3" s="5">
        <v>4602</v>
      </c>
      <c r="D3" s="4" t="s">
        <v>9</v>
      </c>
      <c r="E3" s="5">
        <v>27744</v>
      </c>
      <c r="G3" s="4" t="s">
        <v>10</v>
      </c>
      <c r="H3" s="5">
        <v>5277</v>
      </c>
    </row>
    <row r="4" spans="1:8" x14ac:dyDescent="0.25">
      <c r="A4" s="4" t="s">
        <v>31</v>
      </c>
      <c r="B4" s="5">
        <v>3930</v>
      </c>
      <c r="D4" s="4" t="s">
        <v>20</v>
      </c>
      <c r="E4" s="5">
        <v>2200</v>
      </c>
      <c r="G4" s="4" t="s">
        <v>24</v>
      </c>
      <c r="H4" s="5">
        <v>13033</v>
      </c>
    </row>
    <row r="5" spans="1:8" x14ac:dyDescent="0.25">
      <c r="A5" s="4" t="s">
        <v>38</v>
      </c>
      <c r="B5" s="5">
        <v>3501</v>
      </c>
      <c r="D5" s="4" t="s">
        <v>28</v>
      </c>
      <c r="E5" s="5">
        <v>36157</v>
      </c>
      <c r="G5" s="4" t="s">
        <v>21</v>
      </c>
      <c r="H5" s="5">
        <v>4117</v>
      </c>
    </row>
    <row r="6" spans="1:8" x14ac:dyDescent="0.25">
      <c r="A6" s="4" t="s">
        <v>34</v>
      </c>
      <c r="B6" s="5">
        <v>75</v>
      </c>
      <c r="G6" s="4" t="s">
        <v>14</v>
      </c>
      <c r="H6" s="5">
        <v>3631</v>
      </c>
    </row>
    <row r="7" spans="1:8" x14ac:dyDescent="0.25">
      <c r="A7" s="4" t="s">
        <v>32</v>
      </c>
      <c r="B7" s="5">
        <v>3222</v>
      </c>
      <c r="D7" s="3" t="s">
        <v>27</v>
      </c>
      <c r="E7" t="s">
        <v>29</v>
      </c>
      <c r="G7" s="4" t="s">
        <v>28</v>
      </c>
      <c r="H7" s="5">
        <v>36157</v>
      </c>
    </row>
    <row r="8" spans="1:8" x14ac:dyDescent="0.25">
      <c r="A8" s="4" t="s">
        <v>35</v>
      </c>
      <c r="B8" s="5">
        <v>5861</v>
      </c>
      <c r="D8" s="4" t="s">
        <v>16</v>
      </c>
      <c r="E8" s="5">
        <v>3512</v>
      </c>
    </row>
    <row r="9" spans="1:8" x14ac:dyDescent="0.25">
      <c r="A9" s="4" t="s">
        <v>39</v>
      </c>
      <c r="B9" s="5">
        <v>435</v>
      </c>
      <c r="D9" s="4" t="s">
        <v>8</v>
      </c>
      <c r="E9" s="5">
        <v>14679</v>
      </c>
      <c r="G9" s="3" t="s">
        <v>27</v>
      </c>
      <c r="H9" t="s">
        <v>29</v>
      </c>
    </row>
    <row r="10" spans="1:8" x14ac:dyDescent="0.25">
      <c r="A10" s="4" t="s">
        <v>40</v>
      </c>
      <c r="B10" s="5">
        <v>75</v>
      </c>
      <c r="D10" s="4" t="s">
        <v>17</v>
      </c>
      <c r="E10" s="5">
        <v>13065</v>
      </c>
      <c r="G10" s="4" t="s">
        <v>11</v>
      </c>
      <c r="H10" s="5">
        <v>13277</v>
      </c>
    </row>
    <row r="11" spans="1:8" x14ac:dyDescent="0.25">
      <c r="A11" s="4" t="s">
        <v>33</v>
      </c>
      <c r="B11" s="5">
        <v>6021</v>
      </c>
      <c r="D11" s="4" t="s">
        <v>19</v>
      </c>
      <c r="E11" s="5">
        <v>1300</v>
      </c>
      <c r="G11" s="4" t="s">
        <v>23</v>
      </c>
      <c r="H11" s="5">
        <v>4065</v>
      </c>
    </row>
    <row r="12" spans="1:8" x14ac:dyDescent="0.25">
      <c r="A12" s="4" t="s">
        <v>41</v>
      </c>
      <c r="B12" s="5">
        <v>135</v>
      </c>
      <c r="D12" s="4" t="s">
        <v>12</v>
      </c>
      <c r="E12" s="5">
        <v>565</v>
      </c>
      <c r="G12" s="4" t="s">
        <v>25</v>
      </c>
      <c r="H12" s="5">
        <v>9580</v>
      </c>
    </row>
    <row r="13" spans="1:8" x14ac:dyDescent="0.25">
      <c r="A13" s="4" t="s">
        <v>36</v>
      </c>
      <c r="B13" s="5">
        <v>6004</v>
      </c>
      <c r="D13" s="4" t="s">
        <v>22</v>
      </c>
      <c r="E13" s="5">
        <v>3036</v>
      </c>
      <c r="G13" s="4" t="s">
        <v>26</v>
      </c>
      <c r="H13" s="5">
        <v>5578</v>
      </c>
    </row>
    <row r="14" spans="1:8" x14ac:dyDescent="0.25">
      <c r="A14" s="4" t="s">
        <v>28</v>
      </c>
      <c r="B14" s="5">
        <v>36157</v>
      </c>
      <c r="D14" s="4" t="s">
        <v>28</v>
      </c>
      <c r="E14" s="5">
        <v>36157</v>
      </c>
      <c r="G14" s="4" t="s">
        <v>15</v>
      </c>
      <c r="H14" s="5">
        <v>3657</v>
      </c>
    </row>
    <row r="15" spans="1:8" x14ac:dyDescent="0.25">
      <c r="G15" s="4" t="s">
        <v>28</v>
      </c>
      <c r="H15" s="5">
        <v>36157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P32"/>
  <sheetViews>
    <sheetView showGridLines="0" topLeftCell="D1" zoomScale="51" zoomScaleNormal="51" workbookViewId="0">
      <selection activeCell="U46" sqref="U46"/>
    </sheetView>
  </sheetViews>
  <sheetFormatPr defaultRowHeight="15" x14ac:dyDescent="0.25"/>
  <sheetData>
    <row r="32" spans="16:16" ht="15.75" x14ac:dyDescent="0.25">
      <c r="P32" s="6"/>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 tabel</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2026-08-10T09:32:04Z</dcterms:modified>
</cp:coreProperties>
</file>